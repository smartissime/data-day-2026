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A pro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Budget marketing ARCHIALEARN 2025, trimestre 1 (données fictives)</t>
        </is>
      </c>
    </row>
    <row r="3">
      <c r="A3" s="2" t="inlineStr">
        <is>
          <t>Canal</t>
        </is>
      </c>
      <c r="B3" s="2" t="inlineStr">
        <is>
          <t>Dépenses (euros)</t>
        </is>
      </c>
      <c r="C3" s="2" t="inlineStr">
        <is>
          <t>Leads</t>
        </is>
      </c>
      <c r="D3" s="2" t="inlineStr">
        <is>
          <t>Inscriptions</t>
        </is>
      </c>
      <c r="E3" s="2" t="inlineStr">
        <is>
          <t>Résultats (euros)</t>
        </is>
      </c>
    </row>
    <row r="4">
      <c r="A4" t="inlineStr">
        <is>
          <t>Site web et SEO</t>
        </is>
      </c>
      <c r="B4" s="3" t="n">
        <v>11802</v>
      </c>
      <c r="C4" t="n">
        <v>217</v>
      </c>
      <c r="D4" t="n">
        <v>21</v>
      </c>
      <c r="E4" s="3" t="n">
        <v>40615</v>
      </c>
    </row>
    <row r="5">
      <c r="A5" t="inlineStr">
        <is>
          <t>Publicité en ligne</t>
        </is>
      </c>
      <c r="B5" s="3" t="n">
        <v>18601</v>
      </c>
      <c r="C5" t="n">
        <v>373</v>
      </c>
      <c r="D5" t="n">
        <v>70</v>
      </c>
      <c r="E5" s="3" t="n">
        <v>30144</v>
      </c>
    </row>
    <row r="6">
      <c r="A6" t="inlineStr">
        <is>
          <t>Salons et événements</t>
        </is>
      </c>
      <c r="B6" s="3" t="n">
        <v>23482</v>
      </c>
      <c r="C6" t="n">
        <v>268</v>
      </c>
      <c r="D6" t="n">
        <v>44</v>
      </c>
      <c r="E6" s="3" t="n">
        <v>24889</v>
      </c>
    </row>
    <row r="7">
      <c r="A7" t="inlineStr">
        <is>
          <t>Réseaux sociaux</t>
        </is>
      </c>
      <c r="B7" s="3" t="n">
        <v>5444</v>
      </c>
      <c r="C7" t="n">
        <v>65</v>
      </c>
      <c r="D7" t="n">
        <v>6</v>
      </c>
      <c r="E7" s="3" t="n">
        <v>13607</v>
      </c>
    </row>
    <row r="8">
      <c r="A8" t="inlineStr">
        <is>
          <t>Partenaires</t>
        </is>
      </c>
      <c r="B8" s="3" t="n">
        <v>9085</v>
      </c>
      <c r="C8" t="n">
        <v>107</v>
      </c>
      <c r="D8" t="n">
        <v>15</v>
      </c>
      <c r="E8" s="3" t="n">
        <v>23325</v>
      </c>
    </row>
    <row r="9">
      <c r="A9" t="inlineStr">
        <is>
          <t>E-mailing</t>
        </is>
      </c>
      <c r="B9" s="3" t="n">
        <v>3516</v>
      </c>
      <c r="C9" t="n">
        <v>45</v>
      </c>
      <c r="D9" t="n">
        <v>7</v>
      </c>
      <c r="E9" s="3" t="n">
        <v>12423</v>
      </c>
    </row>
    <row r="10">
      <c r="A10" s="4" t="inlineStr">
        <is>
          <t>Total</t>
        </is>
      </c>
      <c r="B10" s="5">
        <f>SUM(B4:B9)</f>
        <v/>
      </c>
      <c r="C10" s="4">
        <f>SUM(C4:C9)</f>
        <v/>
      </c>
      <c r="D10" s="4">
        <f>SUM(D4:D9)</f>
        <v/>
      </c>
      <c r="E10" s="5">
        <f>SUM(E4:E9)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Budget marketing ARCHIALEARN 2025, trimestre 2 (données fictives)</t>
        </is>
      </c>
    </row>
    <row r="3">
      <c r="A3" s="2" t="inlineStr">
        <is>
          <t>Canal</t>
        </is>
      </c>
      <c r="B3" s="2" t="inlineStr">
        <is>
          <t>Dépenses (euros)</t>
        </is>
      </c>
      <c r="C3" s="2" t="inlineStr">
        <is>
          <t>Leads</t>
        </is>
      </c>
      <c r="D3" s="2" t="inlineStr">
        <is>
          <t>Inscriptions</t>
        </is>
      </c>
      <c r="E3" s="2" t="inlineStr">
        <is>
          <t>Résultats (euros)</t>
        </is>
      </c>
    </row>
    <row r="4">
      <c r="A4" t="inlineStr">
        <is>
          <t>Site web et SEO</t>
        </is>
      </c>
      <c r="B4" s="3" t="n">
        <v>11558</v>
      </c>
      <c r="C4" t="n">
        <v>222</v>
      </c>
      <c r="D4" t="n">
        <v>35</v>
      </c>
      <c r="E4" s="3" t="n">
        <v>33505</v>
      </c>
    </row>
    <row r="5">
      <c r="A5" t="inlineStr">
        <is>
          <t>Publicité en ligne</t>
        </is>
      </c>
      <c r="B5" s="3" t="n">
        <v>20198</v>
      </c>
      <c r="C5" t="n">
        <v>282</v>
      </c>
      <c r="D5" t="n">
        <v>30</v>
      </c>
      <c r="E5" s="3" t="n">
        <v>28359</v>
      </c>
    </row>
    <row r="6">
      <c r="A6" t="inlineStr">
        <is>
          <t>Salons et événements</t>
        </is>
      </c>
      <c r="B6" s="3" t="n">
        <v>26560</v>
      </c>
      <c r="C6" t="n">
        <v>309</v>
      </c>
      <c r="D6" t="n">
        <v>29</v>
      </c>
      <c r="E6" s="3" t="n">
        <v>32965</v>
      </c>
    </row>
    <row r="7">
      <c r="A7" t="inlineStr">
        <is>
          <t>Réseaux sociaux</t>
        </is>
      </c>
      <c r="B7" s="3" t="n">
        <v>6868</v>
      </c>
      <c r="C7" t="n">
        <v>138</v>
      </c>
      <c r="D7" t="n">
        <v>22</v>
      </c>
      <c r="E7" s="3" t="n">
        <v>15710</v>
      </c>
    </row>
    <row r="8">
      <c r="A8" t="inlineStr">
        <is>
          <t>Partenaires</t>
        </is>
      </c>
      <c r="B8" s="3" t="n">
        <v>8976</v>
      </c>
      <c r="C8" t="n">
        <v>152</v>
      </c>
      <c r="D8" t="n">
        <v>17</v>
      </c>
      <c r="E8" s="3" t="n">
        <v>25332</v>
      </c>
    </row>
    <row r="9">
      <c r="A9" t="inlineStr">
        <is>
          <t>E-mailing</t>
        </is>
      </c>
      <c r="B9" s="3" t="n">
        <v>4516</v>
      </c>
      <c r="C9" t="n">
        <v>73</v>
      </c>
      <c r="D9" t="n">
        <v>8</v>
      </c>
      <c r="E9" s="3" t="n">
        <v>16142</v>
      </c>
    </row>
    <row r="10">
      <c r="A10" s="4" t="inlineStr">
        <is>
          <t>Total</t>
        </is>
      </c>
      <c r="B10" s="5">
        <f>SUM(B4:B9)</f>
        <v/>
      </c>
      <c r="C10" s="4">
        <f>SUM(C4:C9)</f>
        <v/>
      </c>
      <c r="D10" s="4">
        <f>SUM(D4:D9)</f>
        <v/>
      </c>
      <c r="E10" s="5">
        <f>SUM(E4:E9)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Budget marketing ARCHIALEARN 2025, trimestre 3 (données fictives)</t>
        </is>
      </c>
    </row>
    <row r="3">
      <c r="A3" s="2" t="inlineStr">
        <is>
          <t>Canal</t>
        </is>
      </c>
      <c r="B3" s="2" t="inlineStr">
        <is>
          <t>Dépenses (euros)</t>
        </is>
      </c>
      <c r="C3" s="2" t="inlineStr">
        <is>
          <t>Leads</t>
        </is>
      </c>
      <c r="D3" s="2" t="inlineStr">
        <is>
          <t>Inscriptions</t>
        </is>
      </c>
      <c r="E3" s="2" t="inlineStr">
        <is>
          <t>Résultats (euros)</t>
        </is>
      </c>
    </row>
    <row r="4">
      <c r="A4" t="inlineStr">
        <is>
          <t>Site web et SEO</t>
        </is>
      </c>
      <c r="B4" s="3" t="n">
        <v>14066</v>
      </c>
      <c r="C4" t="n">
        <v>248</v>
      </c>
      <c r="D4" t="n">
        <v>25</v>
      </c>
      <c r="E4" s="3" t="n">
        <v>38894</v>
      </c>
    </row>
    <row r="5">
      <c r="A5" t="inlineStr">
        <is>
          <t>Publicité en ligne</t>
        </is>
      </c>
      <c r="B5" s="3" t="n">
        <v>18941</v>
      </c>
      <c r="C5" t="n">
        <v>228</v>
      </c>
      <c r="D5" t="n">
        <v>42</v>
      </c>
      <c r="E5" s="3" t="n">
        <v>27891</v>
      </c>
    </row>
    <row r="6">
      <c r="A6" t="inlineStr">
        <is>
          <t>Salons et événements</t>
        </is>
      </c>
      <c r="B6" s="3" t="n">
        <v>28762</v>
      </c>
      <c r="C6" t="n">
        <v>551</v>
      </c>
      <c r="D6" t="n">
        <v>99</v>
      </c>
      <c r="E6" s="3" t="n">
        <v>35282</v>
      </c>
    </row>
    <row r="7">
      <c r="A7" t="inlineStr">
        <is>
          <t>Réseaux sociaux</t>
        </is>
      </c>
      <c r="B7" s="3" t="n">
        <v>7046</v>
      </c>
      <c r="C7" t="n">
        <v>92</v>
      </c>
      <c r="D7" t="n">
        <v>13</v>
      </c>
      <c r="E7" s="3" t="n">
        <v>18935</v>
      </c>
    </row>
    <row r="8">
      <c r="A8" t="inlineStr">
        <is>
          <t>Partenaires</t>
        </is>
      </c>
      <c r="B8" s="3" t="n">
        <v>10910</v>
      </c>
      <c r="C8" t="n">
        <v>198</v>
      </c>
      <c r="D8" t="n">
        <v>25</v>
      </c>
      <c r="E8" s="3" t="n">
        <v>29016</v>
      </c>
    </row>
    <row r="9">
      <c r="A9" t="inlineStr">
        <is>
          <t>E-mailing</t>
        </is>
      </c>
      <c r="B9" s="3" t="n">
        <v>4249</v>
      </c>
      <c r="C9" t="n">
        <v>53</v>
      </c>
      <c r="D9" t="n">
        <v>5</v>
      </c>
      <c r="E9" s="3" t="n">
        <v>18178</v>
      </c>
    </row>
    <row r="10">
      <c r="A10" s="4" t="inlineStr">
        <is>
          <t>Total</t>
        </is>
      </c>
      <c r="B10" s="5">
        <f>SUM(B4:B9)</f>
        <v/>
      </c>
      <c r="C10" s="4">
        <f>SUM(C4:C9)</f>
        <v/>
      </c>
      <c r="D10" s="4">
        <f>SUM(D4:D9)</f>
        <v/>
      </c>
      <c r="E10" s="5">
        <f>SUM(E4:E9)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Budget marketing ARCHIALEARN 2025, trimestre 4 (données fictives)</t>
        </is>
      </c>
    </row>
    <row r="3">
      <c r="A3" s="2" t="inlineStr">
        <is>
          <t>Canal</t>
        </is>
      </c>
      <c r="B3" s="2" t="inlineStr">
        <is>
          <t>Dépenses (euros)</t>
        </is>
      </c>
      <c r="C3" s="2" t="inlineStr">
        <is>
          <t>Leads</t>
        </is>
      </c>
      <c r="D3" s="2" t="inlineStr">
        <is>
          <t>Inscriptions</t>
        </is>
      </c>
      <c r="E3" s="2" t="inlineStr">
        <is>
          <t>Résultats (euros)</t>
        </is>
      </c>
    </row>
    <row r="4">
      <c r="A4" t="inlineStr">
        <is>
          <t>Site web et SEO</t>
        </is>
      </c>
      <c r="B4" s="3" t="n">
        <v>13962</v>
      </c>
      <c r="C4" t="n">
        <v>177</v>
      </c>
      <c r="D4" t="n">
        <v>15</v>
      </c>
      <c r="E4" s="3" t="n">
        <v>38964</v>
      </c>
    </row>
    <row r="5">
      <c r="A5" t="inlineStr">
        <is>
          <t>Publicité en ligne</t>
        </is>
      </c>
      <c r="B5" s="3" t="n">
        <v>22292</v>
      </c>
      <c r="C5" t="n">
        <v>446</v>
      </c>
      <c r="D5" t="n">
        <v>53</v>
      </c>
      <c r="E5" s="3" t="n">
        <v>38229</v>
      </c>
    </row>
    <row r="6">
      <c r="A6" t="inlineStr">
        <is>
          <t>Salons et événements</t>
        </is>
      </c>
      <c r="B6" s="3" t="n">
        <v>29748</v>
      </c>
      <c r="C6" t="n">
        <v>638</v>
      </c>
      <c r="D6" t="n">
        <v>66</v>
      </c>
      <c r="E6" s="3" t="n">
        <v>32983</v>
      </c>
    </row>
    <row r="7">
      <c r="A7" t="inlineStr">
        <is>
          <t>Réseaux sociaux</t>
        </is>
      </c>
      <c r="B7" s="3" t="n">
        <v>6964</v>
      </c>
      <c r="C7" t="n">
        <v>112</v>
      </c>
      <c r="D7" t="n">
        <v>11</v>
      </c>
      <c r="E7" s="3" t="n">
        <v>15477</v>
      </c>
    </row>
    <row r="8">
      <c r="A8" t="inlineStr">
        <is>
          <t>Partenaires</t>
        </is>
      </c>
      <c r="B8" s="3" t="n">
        <v>11746</v>
      </c>
      <c r="C8" t="n">
        <v>199</v>
      </c>
      <c r="D8" t="n">
        <v>35</v>
      </c>
      <c r="E8" s="3" t="n">
        <v>38378</v>
      </c>
    </row>
    <row r="9">
      <c r="A9" t="inlineStr">
        <is>
          <t>E-mailing</t>
        </is>
      </c>
      <c r="B9" s="3" t="n">
        <v>4728</v>
      </c>
      <c r="C9" t="n">
        <v>85</v>
      </c>
      <c r="D9" t="n">
        <v>11</v>
      </c>
      <c r="E9" s="3" t="n">
        <v>16253</v>
      </c>
    </row>
    <row r="10">
      <c r="A10" s="4" t="inlineStr">
        <is>
          <t>Total</t>
        </is>
      </c>
      <c r="B10" s="5">
        <f>SUM(B4:B9)</f>
        <v/>
      </c>
      <c r="C10" s="4">
        <f>SUM(C4:C9)</f>
        <v/>
      </c>
      <c r="D10" s="4">
        <f>SUM(D4:D9)</f>
        <v/>
      </c>
      <c r="E10" s="5">
        <f>SUM(E4:E9)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Budget marketing 2025 ARCHIALEARN (données fictives)</t>
        </is>
      </c>
    </row>
    <row r="3">
      <c r="A3" t="inlineStr">
        <is>
          <t>Une feuille par trimestre (T1 à T4). Colonnes : Canal, Dépenses, Leads, Inscriptions, Résultats. ROI = Résultats / Dépenses.</t>
        </is>
      </c>
    </row>
    <row r="4">
      <c r="A4" t="inlineStr">
        <is>
          <t>Utilisé au Lab 4.2 (agent Analyste : consolidation des quatre feuilles et ROI par canal).</t>
        </is>
      </c>
    </row>
    <row r="6">
      <c r="A6" t="inlineStr">
        <is>
          <t>Propriété intellectuelle : ARCHIA365 (Société ARCHIA365, 75008 PARIS, SIREN 990 705 055) et ARCHIALEARN. Document fictif produit pour les besoins de la formation AB-730. Toute réutilisation à des fins de formation : contact@archia365.fr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2026-09-18T05:34:25Z</dcterms:created>
  <dcterms:modified xmlns:dcterms="http://purl.org/dc/terms/" xmlns:xsi="http://www.w3.org/2001/XMLSchema-instance" xsi:type="dcterms:W3CDTF">2026-09-18T05:34:25Z</dcterms:modified>
</cp:coreProperties>
</file>