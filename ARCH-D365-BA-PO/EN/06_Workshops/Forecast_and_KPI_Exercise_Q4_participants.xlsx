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ers" sheetId="1" state="visible" r:id="rId3"/>
    <sheet name="Pipeline" sheetId="2" state="visible" r:id="rId4"/>
    <sheet name="Summary" sheetId="3" state="visible" r:id="rId5"/>
    <sheet name="KPIs to defin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<sst xmlns="http://schemas.openxmlformats.org/spreadsheetml/2006/main" count="144" uniqueCount="106">
  <si>
    <t xml:space="preserve">Forecast exercise: South-East region, Q4 2026</t>
  </si>
  <si>
    <t xml:space="preserve">Episode 7. Yellow background = editable assumptions.</t>
  </si>
  <si>
    <t xml:space="preserve">Region target (EUR)</t>
  </si>
  <si>
    <t xml:space="preserve">Reference date</t>
  </si>
  <si>
    <t xml:space="preserve">Monday 16/11/2026</t>
  </si>
  <si>
    <t xml:space="preserve">Source</t>
  </si>
  <si>
    <t xml:space="preserve">Fictitious ARCHIFRIDAYS dataset (sheet 10_Opportunities_Q4)</t>
  </si>
  <si>
    <t xml:space="preserve">Salesperson</t>
  </si>
  <si>
    <t xml:space="preserve">Q4 target (EUR)</t>
  </si>
  <si>
    <t xml:space="preserve">Sophie Leroy</t>
  </si>
  <si>
    <t xml:space="preserve">Julien Bernard</t>
  </si>
  <si>
    <t xml:space="preserve">Karim Haddad</t>
  </si>
  <si>
    <t xml:space="preserve">Check: sum of targets = region target</t>
  </si>
  <si>
    <t xml:space="preserve">South-East pipeline Q4 2026</t>
  </si>
  <si>
    <t xml:space="preserve">Yellow columns: your proposals (adjusted category, kept in the landing, comment).</t>
  </si>
  <si>
    <t xml:space="preserve">Opportunity</t>
  </si>
  <si>
    <t xml:space="preserve">Potential customer</t>
  </si>
  <si>
    <t xml:space="preserve">Owner</t>
  </si>
  <si>
    <t xml:space="preserve">Stage</t>
  </si>
  <si>
    <t xml:space="preserve">Est. revenue (EUR)</t>
  </si>
  <si>
    <t xml:space="preserve">Probability</t>
  </si>
  <si>
    <t xml:space="preserve">Weighted amount (EUR)</t>
  </si>
  <si>
    <t xml:space="preserve">Forecast category</t>
  </si>
  <si>
    <t xml:space="preserve">Est. close date</t>
  </si>
  <si>
    <t xml:space="preserve">Adjusted category (proposal)</t>
  </si>
  <si>
    <t xml:space="preserve">Kept in the landing (Yes/No)</t>
  </si>
  <si>
    <t xml:space="preserve">Comment</t>
  </si>
  <si>
    <t xml:space="preserve">Final category (calculated)</t>
  </si>
  <si>
    <t xml:space="preserve">Entrepôt Logisud, power distribution</t>
  </si>
  <si>
    <t xml:space="preserve">Électricité Rhône Services</t>
  </si>
  <si>
    <t xml:space="preserve">Won</t>
  </si>
  <si>
    <t xml:space="preserve">14/10/2026</t>
  </si>
  <si>
    <t xml:space="preserve">Hôtel Belvédère, home automation</t>
  </si>
  <si>
    <t xml:space="preserve">Alpes Élec</t>
  </si>
  <si>
    <t xml:space="preserve">22/10/2026</t>
  </si>
  <si>
    <t xml:space="preserve">Parking Confluence, 40 charging stations</t>
  </si>
  <si>
    <t xml:space="preserve">VoltPark Exploitation</t>
  </si>
  <si>
    <t xml:space="preserve">Close</t>
  </si>
  <si>
    <t xml:space="preserve">Committed</t>
  </si>
  <si>
    <t xml:space="preserve">05/11/2026</t>
  </si>
  <si>
    <t xml:space="preserve">Centre commercial Les Arcades, 3-year maintenance</t>
  </si>
  <si>
    <t xml:space="preserve">Foncière Arcades</t>
  </si>
  <si>
    <t xml:space="preserve">15/11/2026</t>
  </si>
  <si>
    <t xml:space="preserve">Charging station framework agreement 2027</t>
  </si>
  <si>
    <t xml:space="preserve">Groupe Distelec</t>
  </si>
  <si>
    <t xml:space="preserve">30/11/2026</t>
  </si>
  <si>
    <t xml:space="preserve">Ville de Sainte-Aurore, street charging stations</t>
  </si>
  <si>
    <t xml:space="preserve">Ville de Sainte-Aurore</t>
  </si>
  <si>
    <t xml:space="preserve">Propose</t>
  </si>
  <si>
    <t xml:space="preserve">Best case</t>
  </si>
  <si>
    <t xml:space="preserve">28/11/2026</t>
  </si>
  <si>
    <t xml:space="preserve">Lycée Ampère, building management system</t>
  </si>
  <si>
    <t xml:space="preserve">Région Rhône-Sud</t>
  </si>
  <si>
    <t xml:space="preserve">10/12/2026</t>
  </si>
  <si>
    <t xml:space="preserve">Campus Lumière, electrical package</t>
  </si>
  <si>
    <t xml:space="preserve">Vitalis Immobilier</t>
  </si>
  <si>
    <t xml:space="preserve">15/12/2026</t>
  </si>
  <si>
    <t xml:space="preserve">Clinique Saint-Roch, main LV switchboard renovation</t>
  </si>
  <si>
    <t xml:space="preserve">Develop</t>
  </si>
  <si>
    <t xml:space="preserve">Pipeline</t>
  </si>
  <si>
    <t xml:space="preserve">20/12/2026</t>
  </si>
  <si>
    <t xml:space="preserve">Résidence Les Tilleuls, 120 homes</t>
  </si>
  <si>
    <t xml:space="preserve">Habitat Rhodanien</t>
  </si>
  <si>
    <t xml:space="preserve">Qualify</t>
  </si>
  <si>
    <t xml:space="preserve">18/12/2026</t>
  </si>
  <si>
    <t xml:space="preserve">Data center Vénissieux, main LV switchboard</t>
  </si>
  <si>
    <t xml:space="preserve">Nexadata</t>
  </si>
  <si>
    <t xml:space="preserve">22/12/2026</t>
  </si>
  <si>
    <t xml:space="preserve">Usine Méca-Rhône, energy storage</t>
  </si>
  <si>
    <t xml:space="preserve">Méca-Rhône</t>
  </si>
  <si>
    <t xml:space="preserve">Omitted</t>
  </si>
  <si>
    <t xml:space="preserve">31/12/2026</t>
  </si>
  <si>
    <t xml:space="preserve">Total</t>
  </si>
  <si>
    <t xml:space="preserve">Forecast summary (calculated)</t>
  </si>
  <si>
    <t xml:space="preserve">Category</t>
  </si>
  <si>
    <t xml:space="preserve">Amount (EUR)</t>
  </si>
  <si>
    <t xml:space="preserve">Cumulative (EUR)</t>
  </si>
  <si>
    <t xml:space="preserve">Target coverage</t>
  </si>
  <si>
    <t xml:space="preserve">Adjusted amount (EUR)</t>
  </si>
  <si>
    <t xml:space="preserve">excluded from forecast</t>
  </si>
  <si>
    <t xml:space="preserve">Proposed landing ("Yes" rows)</t>
  </si>
  <si>
    <t xml:space="preserve">Gap to target (EUR)</t>
  </si>
  <si>
    <t xml:space="preserve">Target (EUR)</t>
  </si>
  <si>
    <t xml:space="preserve">Won (EUR)</t>
  </si>
  <si>
    <t xml:space="preserve">Committed (EUR)</t>
  </si>
  <si>
    <t xml:space="preserve">Best case (EUR)</t>
  </si>
  <si>
    <t xml:space="preserve">Won + committed coverage</t>
  </si>
  <si>
    <t xml:space="preserve">Sales management KPI reference</t>
  </si>
  <si>
    <t xml:space="preserve">Yellow background = to complete in the workshop. Row 4 is an example.</t>
  </si>
  <si>
    <t xml:space="preserve">No.</t>
  </si>
  <si>
    <t xml:space="preserve">KPI</t>
  </si>
  <si>
    <t xml:space="preserve">Definition</t>
  </si>
  <si>
    <t xml:space="preserve">Calculation</t>
  </si>
  <si>
    <t xml:space="preserve">Source in Dynamics 365</t>
  </si>
  <si>
    <t xml:space="preserve">Frequency</t>
  </si>
  <si>
    <t xml:space="preserve">Audience</t>
  </si>
  <si>
    <t xml:space="preserve">Data owner</t>
  </si>
  <si>
    <t xml:space="preserve">Native or Power BI</t>
  </si>
  <si>
    <t xml:space="preserve">Example: target coverage</t>
  </si>
  <si>
    <t xml:space="preserve">Share of the target covered by won and committed</t>
  </si>
  <si>
    <t xml:space="preserve">(Won + Committed) / Target</t>
  </si>
  <si>
    <t xml:space="preserve">Native forecasting, goals</t>
  </si>
  <si>
    <t xml:space="preserve">Weekly</t>
  </si>
  <si>
    <t xml:space="preserve">Sales Director</t>
  </si>
  <si>
    <t xml:space="preserve">Salespeople (category, amount, date)</t>
  </si>
  <si>
    <t xml:space="preserve">Native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</si>
</sst>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€&quot;"/>
    <numFmt numFmtId="166" formatCode="0%"/>
    <numFmt numFmtId="167" formatCode="#,##0&quot; €&quot;;\-#,##0&quot; €&quot;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1600000</v>
      </c>
    </row>
    <row r="5" customFormat="false" ht="15" hidden="false" customHeight="false" outlineLevel="0" collapsed="false">
      <c r="A5" s="3" t="s">
        <v>3</v>
      </c>
      <c r="B5" s="5" t="s">
        <v>4</v>
      </c>
    </row>
    <row r="6" customFormat="false" ht="39.55" hidden="false" customHeight="false" outlineLevel="0" collapsed="false">
      <c r="A6" s="3" t="s">
        <v>5</v>
      </c>
      <c r="B6" s="6" t="s">
        <v>6</v>
      </c>
    </row>
    <row r="8" customFormat="false" ht="15" hidden="false" customHeight="false" outlineLevel="0" collapsed="false">
      <c r="A8" s="7" t="s">
        <v>7</v>
      </c>
      <c r="B8" s="7" t="s">
        <v>8</v>
      </c>
    </row>
    <row r="9" customFormat="false" ht="15" hidden="false" customHeight="false" outlineLevel="0" collapsed="false">
      <c r="A9" s="6" t="s">
        <v>9</v>
      </c>
      <c r="B9" s="4" t="n">
        <v>700000</v>
      </c>
    </row>
    <row r="10" customFormat="false" ht="15" hidden="false" customHeight="false" outlineLevel="0" collapsed="false">
      <c r="A10" s="6" t="s">
        <v>10</v>
      </c>
      <c r="B10" s="4" t="n">
        <v>600000</v>
      </c>
    </row>
    <row r="11" customFormat="false" ht="15" hidden="false" customHeight="false" outlineLevel="0" collapsed="false">
      <c r="A11" s="6" t="s">
        <v>11</v>
      </c>
      <c r="B11" s="4" t="n">
        <v>300000</v>
      </c>
    </row>
    <row r="12" customFormat="false" ht="15" hidden="false" customHeight="false" outlineLevel="0" collapsed="false">
      <c r="A12" s="8" t="s">
        <v>12</v>
      </c>
      <c r="B12" s="6" t="str">
        <f aca="false">IF(SUM(B9:B11)=B4,"OK","Gap")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2" min="12" style="0" width="40"/>
    <col collapsed="false" customWidth="true" hidden="false" outlineLevel="0" max="13" min="13" style="0" width="18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14</v>
      </c>
    </row>
    <row r="3" customFormat="false" ht="26.85" hidden="false" customHeight="false" outlineLevel="0" collapsed="false">
      <c r="A3" s="7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7" t="s">
        <v>21</v>
      </c>
      <c r="H3" s="7" t="s">
        <v>22</v>
      </c>
      <c r="I3" s="7" t="s">
        <v>23</v>
      </c>
      <c r="J3" s="7" t="s">
        <v>24</v>
      </c>
      <c r="K3" s="7" t="s">
        <v>25</v>
      </c>
      <c r="L3" s="7" t="s">
        <v>26</v>
      </c>
      <c r="M3" s="7" t="s">
        <v>27</v>
      </c>
    </row>
    <row r="4" customFormat="false" ht="15" hidden="false" customHeight="false" outlineLevel="0" collapsed="false">
      <c r="A4" s="6" t="s">
        <v>28</v>
      </c>
      <c r="B4" s="6" t="s">
        <v>29</v>
      </c>
      <c r="C4" s="6" t="s">
        <v>11</v>
      </c>
      <c r="D4" s="6" t="s">
        <v>30</v>
      </c>
      <c r="E4" s="9" t="n">
        <v>140000</v>
      </c>
      <c r="F4" s="10" t="n">
        <v>1</v>
      </c>
      <c r="G4" s="11" t="n">
        <f aca="false">E4*F4</f>
        <v>140000</v>
      </c>
      <c r="H4" s="6" t="s">
        <v>30</v>
      </c>
      <c r="I4" s="6" t="s">
        <v>31</v>
      </c>
      <c r="J4" s="12"/>
      <c r="K4" s="12"/>
      <c r="L4" s="12"/>
      <c r="M4" s="6" t="str">
        <f aca="false">IF(J4="",H4,J4)</f>
        <v>Won</v>
      </c>
    </row>
    <row r="5" customFormat="false" ht="15" hidden="false" customHeight="false" outlineLevel="0" collapsed="false">
      <c r="A5" s="6" t="s">
        <v>32</v>
      </c>
      <c r="B5" s="6" t="s">
        <v>33</v>
      </c>
      <c r="C5" s="6" t="s">
        <v>11</v>
      </c>
      <c r="D5" s="6" t="s">
        <v>30</v>
      </c>
      <c r="E5" s="9" t="n">
        <v>62000</v>
      </c>
      <c r="F5" s="10" t="n">
        <v>1</v>
      </c>
      <c r="G5" s="11" t="n">
        <f aca="false">E5*F5</f>
        <v>62000</v>
      </c>
      <c r="H5" s="6" t="s">
        <v>30</v>
      </c>
      <c r="I5" s="6" t="s">
        <v>34</v>
      </c>
      <c r="J5" s="12"/>
      <c r="K5" s="12"/>
      <c r="L5" s="12"/>
      <c r="M5" s="6" t="str">
        <f aca="false">IF(J5="",H5,J5)</f>
        <v>Won</v>
      </c>
    </row>
    <row r="6" customFormat="false" ht="15" hidden="false" customHeight="false" outlineLevel="0" collapsed="false">
      <c r="A6" s="6" t="s">
        <v>35</v>
      </c>
      <c r="B6" s="6" t="s">
        <v>36</v>
      </c>
      <c r="C6" s="6" t="s">
        <v>10</v>
      </c>
      <c r="D6" s="6" t="s">
        <v>37</v>
      </c>
      <c r="E6" s="9" t="n">
        <v>125000</v>
      </c>
      <c r="F6" s="10" t="n">
        <v>0.9</v>
      </c>
      <c r="G6" s="11" t="n">
        <f aca="false">E6*F6</f>
        <v>112500</v>
      </c>
      <c r="H6" s="6" t="s">
        <v>38</v>
      </c>
      <c r="I6" s="6" t="s">
        <v>39</v>
      </c>
      <c r="J6" s="12"/>
      <c r="K6" s="12"/>
      <c r="L6" s="12"/>
      <c r="M6" s="6" t="str">
        <f aca="false">IF(J6="",H6,J6)</f>
        <v>Committed</v>
      </c>
    </row>
    <row r="7" customFormat="false" ht="26.85" hidden="false" customHeight="false" outlineLevel="0" collapsed="false">
      <c r="A7" s="6" t="s">
        <v>40</v>
      </c>
      <c r="B7" s="6" t="s">
        <v>41</v>
      </c>
      <c r="C7" s="6" t="s">
        <v>10</v>
      </c>
      <c r="D7" s="6" t="s">
        <v>37</v>
      </c>
      <c r="E7" s="9" t="n">
        <v>76000</v>
      </c>
      <c r="F7" s="10" t="n">
        <v>0.8</v>
      </c>
      <c r="G7" s="11" t="n">
        <f aca="false">E7*F7</f>
        <v>60800</v>
      </c>
      <c r="H7" s="6" t="s">
        <v>38</v>
      </c>
      <c r="I7" s="6" t="s">
        <v>42</v>
      </c>
      <c r="J7" s="12"/>
      <c r="K7" s="12"/>
      <c r="L7" s="12"/>
      <c r="M7" s="6" t="str">
        <f aca="false">IF(J7="",H7,J7)</f>
        <v>Committed</v>
      </c>
    </row>
    <row r="8" customFormat="false" ht="15" hidden="false" customHeight="false" outlineLevel="0" collapsed="false">
      <c r="A8" s="6" t="s">
        <v>43</v>
      </c>
      <c r="B8" s="6" t="s">
        <v>44</v>
      </c>
      <c r="C8" s="6" t="s">
        <v>10</v>
      </c>
      <c r="D8" s="6" t="s">
        <v>37</v>
      </c>
      <c r="E8" s="9" t="n">
        <v>410000</v>
      </c>
      <c r="F8" s="10" t="n">
        <v>0.8</v>
      </c>
      <c r="G8" s="11" t="n">
        <f aca="false">E8*F8</f>
        <v>328000</v>
      </c>
      <c r="H8" s="6" t="s">
        <v>38</v>
      </c>
      <c r="I8" s="6" t="s">
        <v>45</v>
      </c>
      <c r="J8" s="12"/>
      <c r="K8" s="12"/>
      <c r="L8" s="12"/>
      <c r="M8" s="6" t="str">
        <f aca="false">IF(J8="",H8,J8)</f>
        <v>Committed</v>
      </c>
    </row>
    <row r="9" customFormat="false" ht="15" hidden="false" customHeight="false" outlineLevel="0" collapsed="false">
      <c r="A9" s="6" t="s">
        <v>46</v>
      </c>
      <c r="B9" s="6" t="s">
        <v>47</v>
      </c>
      <c r="C9" s="6" t="s">
        <v>9</v>
      </c>
      <c r="D9" s="6" t="s">
        <v>48</v>
      </c>
      <c r="E9" s="9" t="n">
        <v>88000</v>
      </c>
      <c r="F9" s="10" t="n">
        <v>0.6</v>
      </c>
      <c r="G9" s="11" t="n">
        <f aca="false">E9*F9</f>
        <v>52800</v>
      </c>
      <c r="H9" s="6" t="s">
        <v>49</v>
      </c>
      <c r="I9" s="6" t="s">
        <v>50</v>
      </c>
      <c r="J9" s="12"/>
      <c r="K9" s="12"/>
      <c r="L9" s="12"/>
      <c r="M9" s="6" t="str">
        <f aca="false">IF(J9="",H9,J9)</f>
        <v>Best case</v>
      </c>
    </row>
    <row r="10" customFormat="false" ht="15" hidden="false" customHeight="false" outlineLevel="0" collapsed="false">
      <c r="A10" s="6" t="s">
        <v>51</v>
      </c>
      <c r="B10" s="6" t="s">
        <v>52</v>
      </c>
      <c r="C10" s="6" t="s">
        <v>9</v>
      </c>
      <c r="D10" s="6" t="s">
        <v>48</v>
      </c>
      <c r="E10" s="9" t="n">
        <v>180000</v>
      </c>
      <c r="F10" s="10" t="n">
        <v>0.5</v>
      </c>
      <c r="G10" s="11" t="n">
        <f aca="false">E10*F10</f>
        <v>90000</v>
      </c>
      <c r="H10" s="6" t="s">
        <v>49</v>
      </c>
      <c r="I10" s="6" t="s">
        <v>53</v>
      </c>
      <c r="J10" s="12"/>
      <c r="K10" s="12"/>
      <c r="L10" s="12"/>
      <c r="M10" s="6" t="str">
        <f aca="false">IF(J10="",H10,J10)</f>
        <v>Best case</v>
      </c>
    </row>
    <row r="11" customFormat="false" ht="15" hidden="false" customHeight="false" outlineLevel="0" collapsed="false">
      <c r="A11" s="6" t="s">
        <v>54</v>
      </c>
      <c r="B11" s="6" t="s">
        <v>55</v>
      </c>
      <c r="C11" s="6" t="s">
        <v>9</v>
      </c>
      <c r="D11" s="6" t="s">
        <v>48</v>
      </c>
      <c r="E11" s="9" t="n">
        <v>344000</v>
      </c>
      <c r="F11" s="10" t="n">
        <v>0.6</v>
      </c>
      <c r="G11" s="11" t="n">
        <f aca="false">E11*F11</f>
        <v>206400</v>
      </c>
      <c r="H11" s="6" t="s">
        <v>49</v>
      </c>
      <c r="I11" s="6" t="s">
        <v>56</v>
      </c>
      <c r="J11" s="12"/>
      <c r="K11" s="12"/>
      <c r="L11" s="12"/>
      <c r="M11" s="6" t="str">
        <f aca="false">IF(J11="",H11,J11)</f>
        <v>Best case</v>
      </c>
    </row>
    <row r="12" customFormat="false" ht="26.85" hidden="false" customHeight="false" outlineLevel="0" collapsed="false">
      <c r="A12" s="6" t="s">
        <v>57</v>
      </c>
      <c r="B12" s="6" t="s">
        <v>29</v>
      </c>
      <c r="C12" s="6" t="s">
        <v>11</v>
      </c>
      <c r="D12" s="6" t="s">
        <v>58</v>
      </c>
      <c r="E12" s="9" t="n">
        <v>95000</v>
      </c>
      <c r="F12" s="10" t="n">
        <v>0.4</v>
      </c>
      <c r="G12" s="11" t="n">
        <f aca="false">E12*F12</f>
        <v>38000</v>
      </c>
      <c r="H12" s="6" t="s">
        <v>59</v>
      </c>
      <c r="I12" s="6" t="s">
        <v>60</v>
      </c>
      <c r="J12" s="12"/>
      <c r="K12" s="12"/>
      <c r="L12" s="12"/>
      <c r="M12" s="6" t="str">
        <f aca="false">IF(J12="",H12,J12)</f>
        <v>Pipeline</v>
      </c>
    </row>
    <row r="13" customFormat="false" ht="15" hidden="false" customHeight="false" outlineLevel="0" collapsed="false">
      <c r="A13" s="6" t="s">
        <v>61</v>
      </c>
      <c r="B13" s="6" t="s">
        <v>62</v>
      </c>
      <c r="C13" s="6" t="s">
        <v>9</v>
      </c>
      <c r="D13" s="6" t="s">
        <v>63</v>
      </c>
      <c r="E13" s="9" t="n">
        <v>210000</v>
      </c>
      <c r="F13" s="10" t="n">
        <v>0.2</v>
      </c>
      <c r="G13" s="11" t="n">
        <f aca="false">E13*F13</f>
        <v>42000</v>
      </c>
      <c r="H13" s="6" t="s">
        <v>59</v>
      </c>
      <c r="I13" s="6" t="s">
        <v>64</v>
      </c>
      <c r="J13" s="12"/>
      <c r="K13" s="12"/>
      <c r="L13" s="12"/>
      <c r="M13" s="6" t="str">
        <f aca="false">IF(J13="",H13,J13)</f>
        <v>Pipeline</v>
      </c>
    </row>
    <row r="14" customFormat="false" ht="15" hidden="false" customHeight="false" outlineLevel="0" collapsed="false">
      <c r="A14" s="6" t="s">
        <v>65</v>
      </c>
      <c r="B14" s="6" t="s">
        <v>66</v>
      </c>
      <c r="C14" s="6" t="s">
        <v>10</v>
      </c>
      <c r="D14" s="6" t="s">
        <v>58</v>
      </c>
      <c r="E14" s="9" t="n">
        <v>290000</v>
      </c>
      <c r="F14" s="10" t="n">
        <v>0.3</v>
      </c>
      <c r="G14" s="11" t="n">
        <f aca="false">E14*F14</f>
        <v>87000</v>
      </c>
      <c r="H14" s="6" t="s">
        <v>59</v>
      </c>
      <c r="I14" s="6" t="s">
        <v>67</v>
      </c>
      <c r="J14" s="12"/>
      <c r="K14" s="12"/>
      <c r="L14" s="12"/>
      <c r="M14" s="6" t="str">
        <f aca="false">IF(J14="",H14,J14)</f>
        <v>Pipeline</v>
      </c>
    </row>
    <row r="15" customFormat="false" ht="15" hidden="false" customHeight="false" outlineLevel="0" collapsed="false">
      <c r="A15" s="6" t="s">
        <v>68</v>
      </c>
      <c r="B15" s="6" t="s">
        <v>69</v>
      </c>
      <c r="C15" s="6" t="s">
        <v>11</v>
      </c>
      <c r="D15" s="6" t="s">
        <v>58</v>
      </c>
      <c r="E15" s="9" t="n">
        <v>150000</v>
      </c>
      <c r="F15" s="10" t="n">
        <v>0.3</v>
      </c>
      <c r="G15" s="11" t="n">
        <f aca="false">E15*F15</f>
        <v>45000</v>
      </c>
      <c r="H15" s="6" t="s">
        <v>70</v>
      </c>
      <c r="I15" s="6" t="s">
        <v>71</v>
      </c>
      <c r="J15" s="12"/>
      <c r="K15" s="12"/>
      <c r="L15" s="12"/>
      <c r="M15" s="6" t="str">
        <f aca="false">IF(J15="",H15,J15)</f>
        <v>Omitted</v>
      </c>
    </row>
    <row r="16" customFormat="false" ht="15" hidden="false" customHeight="false" outlineLevel="0" collapsed="false">
      <c r="A16" s="8" t="s">
        <v>72</v>
      </c>
      <c r="E16" s="13" t="n">
        <f aca="false">SUM(E4:E15)</f>
        <v>2170000</v>
      </c>
      <c r="G16" s="13" t="n">
        <f aca="false">SUM(G4:G15)</f>
        <v>1264500</v>
      </c>
    </row>
  </sheetData>
  <dataValidations count="2">
    <dataValidation allowBlank="true" errorStyle="stop" operator="between" showDropDown="false" showErrorMessage="false" showInputMessage="false" sqref="J4:J15" type="list">
      <formula1>"Won,Committed,Best case,Pipeline,Omitted"</formula1>
      <formula2>0</formula2>
    </dataValidation>
    <dataValidation allowBlank="true" errorStyle="stop" operator="between" showDropDown="false" showErrorMessage="false" showInputMessage="false" sqref="K4:K1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8"/>
    <col collapsed="false" customWidth="true" hidden="false" outlineLevel="0" max="5" min="4" style="0" width="22"/>
    <col collapsed="false" customWidth="true" hidden="false" outlineLevel="0" max="6" min="6" style="0" width="24"/>
  </cols>
  <sheetData>
    <row r="1" customFormat="false" ht="17.35" hidden="false" customHeight="false" outlineLevel="0" collapsed="false">
      <c r="A1" s="1" t="s">
        <v>73</v>
      </c>
    </row>
    <row r="3" customFormat="false" ht="26.85" hidden="false" customHeight="false" outlineLevel="0" collapsed="false">
      <c r="A3" s="7" t="s">
        <v>74</v>
      </c>
      <c r="B3" s="7" t="s">
        <v>75</v>
      </c>
      <c r="C3" s="7" t="s">
        <v>76</v>
      </c>
      <c r="D3" s="7" t="s">
        <v>77</v>
      </c>
      <c r="E3" s="7" t="s">
        <v>78</v>
      </c>
    </row>
    <row r="4" customFormat="false" ht="15" hidden="false" customHeight="false" outlineLevel="0" collapsed="false">
      <c r="A4" s="6" t="s">
        <v>30</v>
      </c>
      <c r="B4" s="11" t="n">
        <f aca="false">SUMIFS(Pipeline!$E$4:$E$15,Pipeline!$H$4:$H$15,A4)</f>
        <v>202000</v>
      </c>
      <c r="C4" s="11" t="n">
        <f aca="false">B4</f>
        <v>202000</v>
      </c>
      <c r="D4" s="14" t="n">
        <f aca="false">C4/Parameters!$B$4</f>
        <v>0.12625</v>
      </c>
      <c r="E4" s="11" t="n">
        <f aca="false">SUMIFS(Pipeline!$E$4:$E$15,Pipeline!$M$4:$M$15,A4)</f>
        <v>202000</v>
      </c>
    </row>
    <row r="5" customFormat="false" ht="15" hidden="false" customHeight="false" outlineLevel="0" collapsed="false">
      <c r="A5" s="6" t="s">
        <v>38</v>
      </c>
      <c r="B5" s="11" t="n">
        <f aca="false">SUMIFS(Pipeline!$E$4:$E$15,Pipeline!$H$4:$H$15,A5)</f>
        <v>611000</v>
      </c>
      <c r="C5" s="11" t="n">
        <f aca="false">C4+B5</f>
        <v>813000</v>
      </c>
      <c r="D5" s="14" t="n">
        <f aca="false">C5/Parameters!$B$4</f>
        <v>0.508125</v>
      </c>
      <c r="E5" s="11" t="n">
        <f aca="false">SUMIFS(Pipeline!$E$4:$E$15,Pipeline!$M$4:$M$15,A5)</f>
        <v>611000</v>
      </c>
    </row>
    <row r="6" customFormat="false" ht="15" hidden="false" customHeight="false" outlineLevel="0" collapsed="false">
      <c r="A6" s="6" t="s">
        <v>49</v>
      </c>
      <c r="B6" s="11" t="n">
        <f aca="false">SUMIFS(Pipeline!$E$4:$E$15,Pipeline!$H$4:$H$15,A6)</f>
        <v>612000</v>
      </c>
      <c r="C6" s="11" t="n">
        <f aca="false">C5+B6</f>
        <v>1425000</v>
      </c>
      <c r="D6" s="14" t="n">
        <f aca="false">C6/Parameters!$B$4</f>
        <v>0.890625</v>
      </c>
      <c r="E6" s="11" t="n">
        <f aca="false">SUMIFS(Pipeline!$E$4:$E$15,Pipeline!$M$4:$M$15,A6)</f>
        <v>612000</v>
      </c>
    </row>
    <row r="7" customFormat="false" ht="15" hidden="false" customHeight="false" outlineLevel="0" collapsed="false">
      <c r="A7" s="6" t="s">
        <v>59</v>
      </c>
      <c r="B7" s="11" t="n">
        <f aca="false">SUMIFS(Pipeline!$E$4:$E$15,Pipeline!$H$4:$H$15,A7)</f>
        <v>595000</v>
      </c>
      <c r="C7" s="11" t="n">
        <f aca="false">C6+B7</f>
        <v>2020000</v>
      </c>
      <c r="D7" s="14" t="n">
        <f aca="false">C7/Parameters!$B$4</f>
        <v>1.2625</v>
      </c>
      <c r="E7" s="11" t="n">
        <f aca="false">SUMIFS(Pipeline!$E$4:$E$15,Pipeline!$M$4:$M$15,A7)</f>
        <v>595000</v>
      </c>
    </row>
    <row r="8" customFormat="false" ht="26.85" hidden="false" customHeight="false" outlineLevel="0" collapsed="false">
      <c r="A8" s="6" t="s">
        <v>70</v>
      </c>
      <c r="B8" s="11" t="n">
        <f aca="false">SUMIFS(Pipeline!$E$4:$E$15,Pipeline!$H$4:$H$15,A8)</f>
        <v>150000</v>
      </c>
      <c r="C8" s="6" t="s">
        <v>79</v>
      </c>
      <c r="D8" s="6"/>
      <c r="E8" s="11" t="n">
        <f aca="false">SUMIFS(Pipeline!$E$4:$E$15,Pipeline!$M$4:$M$15,A8)</f>
        <v>150000</v>
      </c>
    </row>
    <row r="10" customFormat="false" ht="26.85" hidden="false" customHeight="false" outlineLevel="0" collapsed="false">
      <c r="A10" s="3" t="s">
        <v>80</v>
      </c>
      <c r="B10" s="13" t="n">
        <f aca="false">SUMIFS(Pipeline!$E$4:$E$15,Pipeline!$K$4:$K$15,"Yes")</f>
        <v>0</v>
      </c>
    </row>
    <row r="11" customFormat="false" ht="15" hidden="false" customHeight="false" outlineLevel="0" collapsed="false">
      <c r="A11" s="3" t="s">
        <v>77</v>
      </c>
      <c r="B11" s="15" t="n">
        <f aca="false">B10/Parameters!$B$4</f>
        <v>0</v>
      </c>
    </row>
    <row r="12" customFormat="false" ht="15" hidden="false" customHeight="false" outlineLevel="0" collapsed="false">
      <c r="A12" s="3" t="s">
        <v>81</v>
      </c>
      <c r="B12" s="16" t="n">
        <f aca="false">B10-Parameters!$B$4</f>
        <v>-1600000</v>
      </c>
    </row>
    <row r="14" customFormat="false" ht="26.85" hidden="false" customHeight="false" outlineLevel="0" collapsed="false">
      <c r="A14" s="7" t="s">
        <v>7</v>
      </c>
      <c r="B14" s="7" t="s">
        <v>82</v>
      </c>
      <c r="C14" s="7" t="s">
        <v>83</v>
      </c>
      <c r="D14" s="7" t="s">
        <v>84</v>
      </c>
      <c r="E14" s="7" t="s">
        <v>85</v>
      </c>
      <c r="F14" s="7" t="s">
        <v>86</v>
      </c>
    </row>
    <row r="15" customFormat="false" ht="15" hidden="false" customHeight="false" outlineLevel="0" collapsed="false">
      <c r="A15" s="6" t="s">
        <v>9</v>
      </c>
      <c r="B15" s="17" t="n">
        <f aca="false">Parameters!B9</f>
        <v>700000</v>
      </c>
      <c r="C15" s="11" t="n">
        <f aca="false">SUMIFS(Pipeline!$E$4:$E$15,Pipeline!$C$4:$C$15,$A15,Pipeline!$H$4:$H$15,"Won")</f>
        <v>0</v>
      </c>
      <c r="D15" s="11" t="n">
        <f aca="false">SUMIFS(Pipeline!$E$4:$E$15,Pipeline!$C$4:$C$15,$A15,Pipeline!$H$4:$H$15,"Committed")</f>
        <v>0</v>
      </c>
      <c r="E15" s="11" t="n">
        <f aca="false">SUMIFS(Pipeline!$E$4:$E$15,Pipeline!$C$4:$C$15,$A15,Pipeline!$H$4:$H$15,"Best case")</f>
        <v>612000</v>
      </c>
      <c r="F15" s="14" t="n">
        <f aca="false">IF(B15=0,0,(C15+D15)/B15)</f>
        <v>0</v>
      </c>
    </row>
    <row r="16" customFormat="false" ht="15" hidden="false" customHeight="false" outlineLevel="0" collapsed="false">
      <c r="A16" s="6" t="s">
        <v>10</v>
      </c>
      <c r="B16" s="17" t="n">
        <f aca="false">Parameters!B10</f>
        <v>600000</v>
      </c>
      <c r="C16" s="11" t="n">
        <f aca="false">SUMIFS(Pipeline!$E$4:$E$15,Pipeline!$C$4:$C$15,$A16,Pipeline!$H$4:$H$15,"Won")</f>
        <v>0</v>
      </c>
      <c r="D16" s="11" t="n">
        <f aca="false">SUMIFS(Pipeline!$E$4:$E$15,Pipeline!$C$4:$C$15,$A16,Pipeline!$H$4:$H$15,"Committed")</f>
        <v>611000</v>
      </c>
      <c r="E16" s="11" t="n">
        <f aca="false">SUMIFS(Pipeline!$E$4:$E$15,Pipeline!$C$4:$C$15,$A16,Pipeline!$H$4:$H$15,"Best case")</f>
        <v>0</v>
      </c>
      <c r="F16" s="14" t="n">
        <f aca="false">IF(B16=0,0,(C16+D16)/B16)</f>
        <v>1.01833333333333</v>
      </c>
    </row>
    <row r="17" customFormat="false" ht="15" hidden="false" customHeight="false" outlineLevel="0" collapsed="false">
      <c r="A17" s="6" t="s">
        <v>11</v>
      </c>
      <c r="B17" s="17" t="n">
        <f aca="false">Parameters!B11</f>
        <v>300000</v>
      </c>
      <c r="C17" s="11" t="n">
        <f aca="false">SUMIFS(Pipeline!$E$4:$E$15,Pipeline!$C$4:$C$15,$A17,Pipeline!$H$4:$H$15,"Won")</f>
        <v>202000</v>
      </c>
      <c r="D17" s="11" t="n">
        <f aca="false">SUMIFS(Pipeline!$E$4:$E$15,Pipeline!$C$4:$C$15,$A17,Pipeline!$H$4:$H$15,"Committed")</f>
        <v>0</v>
      </c>
      <c r="E17" s="11" t="n">
        <f aca="false">SUMIFS(Pipeline!$E$4:$E$15,Pipeline!$C$4:$C$15,$A17,Pipeline!$H$4:$H$15,"Best case")</f>
        <v>0</v>
      </c>
      <c r="F17" s="14" t="n">
        <f aca="false">IF(B17=0,0,(C17+D17)/B17)</f>
        <v>0.673333333333333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36"/>
    <col collapsed="false" customWidth="true" hidden="false" outlineLevel="0" max="5" min="5" style="0" width="32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88</v>
      </c>
    </row>
    <row r="3" customFormat="false" ht="26.85" hidden="false" customHeight="false" outlineLevel="0" collapsed="false">
      <c r="A3" s="7" t="s">
        <v>89</v>
      </c>
      <c r="B3" s="7" t="s">
        <v>90</v>
      </c>
      <c r="C3" s="7" t="s">
        <v>91</v>
      </c>
      <c r="D3" s="7" t="s">
        <v>92</v>
      </c>
      <c r="E3" s="7" t="s">
        <v>93</v>
      </c>
      <c r="F3" s="7" t="s">
        <v>94</v>
      </c>
      <c r="G3" s="7" t="s">
        <v>95</v>
      </c>
      <c r="H3" s="7" t="s">
        <v>96</v>
      </c>
      <c r="I3" s="7" t="s">
        <v>97</v>
      </c>
    </row>
    <row r="4" customFormat="false" ht="26.85" hidden="false" customHeight="false" outlineLevel="0" collapsed="false">
      <c r="A4" s="6" t="n">
        <v>1</v>
      </c>
      <c r="B4" s="6" t="s">
        <v>98</v>
      </c>
      <c r="C4" s="6" t="s">
        <v>99</v>
      </c>
      <c r="D4" s="6" t="s">
        <v>100</v>
      </c>
      <c r="E4" s="6" t="s">
        <v>101</v>
      </c>
      <c r="F4" s="6" t="s">
        <v>102</v>
      </c>
      <c r="G4" s="6" t="s">
        <v>103</v>
      </c>
      <c r="H4" s="6" t="s">
        <v>104</v>
      </c>
      <c r="I4" s="6" t="s">
        <v>105</v>
      </c>
    </row>
    <row r="5" customFormat="false" ht="15" hidden="false" customHeight="false" outlineLevel="0" collapsed="false">
      <c r="A5" s="6" t="n">
        <v>2</v>
      </c>
      <c r="B5" s="12"/>
      <c r="C5" s="12"/>
      <c r="D5" s="12"/>
      <c r="E5" s="12"/>
      <c r="F5" s="12"/>
      <c r="G5" s="12"/>
      <c r="H5" s="12"/>
      <c r="I5" s="12"/>
    </row>
    <row r="6" customFormat="false" ht="15" hidden="false" customHeight="false" outlineLevel="0" collapsed="false">
      <c r="A6" s="6" t="n">
        <v>3</v>
      </c>
      <c r="B6" s="12"/>
      <c r="C6" s="12"/>
      <c r="D6" s="12"/>
      <c r="E6" s="12"/>
      <c r="F6" s="12"/>
      <c r="G6" s="12"/>
      <c r="H6" s="12"/>
      <c r="I6" s="12"/>
    </row>
    <row r="7" customFormat="false" ht="15" hidden="false" customHeight="false" outlineLevel="0" collapsed="false">
      <c r="A7" s="6" t="n">
        <v>4</v>
      </c>
      <c r="B7" s="12"/>
      <c r="C7" s="12"/>
      <c r="D7" s="12"/>
      <c r="E7" s="12"/>
      <c r="F7" s="12"/>
      <c r="G7" s="12"/>
      <c r="H7" s="12"/>
      <c r="I7" s="12"/>
    </row>
    <row r="8" customFormat="false" ht="15" hidden="false" customHeight="false" outlineLevel="0" collapsed="false">
      <c r="A8" s="6" t="n">
        <v>5</v>
      </c>
      <c r="B8" s="12"/>
      <c r="C8" s="12"/>
      <c r="D8" s="12"/>
      <c r="E8" s="12"/>
      <c r="F8" s="12"/>
      <c r="G8" s="12"/>
      <c r="H8" s="12"/>
      <c r="I8" s="12"/>
    </row>
    <row r="9" customFormat="false" ht="15" hidden="false" customHeight="false" outlineLevel="0" collapsed="false">
      <c r="A9" s="6" t="n">
        <v>6</v>
      </c>
      <c r="B9" s="12"/>
      <c r="C9" s="12"/>
      <c r="D9" s="12"/>
      <c r="E9" s="12"/>
      <c r="F9" s="12"/>
      <c r="G9" s="12"/>
      <c r="H9" s="12"/>
      <c r="I9" s="12"/>
    </row>
    <row r="10" customFormat="false" ht="15" hidden="false" customHeight="false" outlineLevel="0" collapsed="false">
      <c r="A10" s="6" t="n">
        <v>7</v>
      </c>
      <c r="B10" s="12"/>
      <c r="C10" s="12"/>
      <c r="D10" s="12"/>
      <c r="E10" s="12"/>
      <c r="F10" s="12"/>
      <c r="G10" s="12"/>
      <c r="H10" s="12"/>
      <c r="I10" s="12"/>
    </row>
    <row r="11" customFormat="false" ht="15" hidden="false" customHeight="false" outlineLevel="0" collapsed="false">
      <c r="A11" s="6" t="n">
        <v>8</v>
      </c>
      <c r="B11" s="12"/>
      <c r="C11" s="12"/>
      <c r="D11" s="12"/>
      <c r="E11" s="12"/>
      <c r="F11" s="12"/>
      <c r="G11" s="12"/>
      <c r="H11" s="12"/>
      <c r="I11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85964E25350F4FB3FE643AE11B2B20" ma:contentTypeVersion="11" ma:contentTypeDescription="Crée un document." ma:contentTypeScope="" ma:versionID="e7f39a783ac8ecc05738e5ff5477c03a">
  <xsd:schema xmlns:xsd="http://www.w3.org/2001/XMLSchema" xmlns:xs="http://www.w3.org/2001/XMLSchema" xmlns:p="http://schemas.microsoft.com/office/2006/metadata/properties" xmlns:ns2="d9df9240-fc95-4deb-9c9d-de700c44a7a7" xmlns:ns3="33363a87-7e43-46da-9332-4c6d176b06e4" targetNamespace="http://schemas.microsoft.com/office/2006/metadata/properties" ma:root="true" ma:fieldsID="1f2644dde6637e6a93862dcbdf794115" ns2:_="" ns3:_="">
    <xsd:import namespace="d9df9240-fc95-4deb-9c9d-de700c44a7a7"/>
    <xsd:import namespace="33363a87-7e43-46da-9332-4c6d176b06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df9240-fc95-4deb-9c9d-de700c44a7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ef1542d-73bf-4483-a10a-dd7f0542ff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363a87-7e43-46da-9332-4c6d176b06e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3c4884d-0209-46c7-838c-3dc439699bfd}" ma:internalName="TaxCatchAll" ma:showField="CatchAllData" ma:web="33363a87-7e43-46da-9332-4c6d176b06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3363a87-7e43-46da-9332-4c6d176b06e4" xsi:nil="true"/>
    <lcf76f155ced4ddcb4097134ff3c332f xmlns="d9df9240-fc95-4deb-9c9d-de700c44a7a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0017E1-4A38-4AE2-BD27-7E23950D8A80}"/>
</file>

<file path=customXml/itemProps2.xml><?xml version="1.0" encoding="utf-8"?>
<ds:datastoreItem xmlns:ds="http://schemas.openxmlformats.org/officeDocument/2006/customXml" ds:itemID="{5C912493-5F70-465D-B160-7FA64F577680}"/>
</file>

<file path=customXml/itemProps3.xml><?xml version="1.0" encoding="utf-8"?>
<ds:datastoreItem xmlns:ds="http://schemas.openxmlformats.org/officeDocument/2006/customXml" ds:itemID="{0BE38F6E-B49F-4282-A3B0-0D13AB20C19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2026-10-12T11:21:15Z</dcterms:created>
  <dcterms:modified xsi:type="dcterms:W3CDTF">2026-10-12T11:21:15Z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0x0101000085964E25350F4FB3FE643AE11B2B20</vt:lpwstr>
  </property>
</Properties>
</file>