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Corrigé ARCHIFRIDAYS" sheetId="2" state="visible" r:id="rId4"/>
    <sheet name="Grille Hager" sheetId="3" state="visible" r:id="rId5"/>
    <sheet name="Synthè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<sst xmlns="http://schemas.openxmlformats.org/spreadsheetml/2006/main" count="218" uniqueCount="153">
  <si>
    <t xml:space="preserve">Atelier fit-gap : standard Dynamics 365 Sales / pratique actuelle</t>
  </si>
  <si>
    <t xml:space="preserve">ARCHIA365, formation Dynamics 365 Sales niveau PO / BA</t>
  </si>
  <si>
    <t xml:space="preserve">Objectif</t>
  </si>
  <si>
    <t xml:space="preserve">Qualifier chaque étape du processus commercial par rapport au standard, puis prioriser les écarts.</t>
  </si>
  <si>
    <t xml:space="preserve">Atelier 1 (jour 1)</t>
  </si>
  <si>
    <t xml:space="preserve">Compléter l'onglet « Grille Hager » pour les étapes lead à facture, en s'appuyant sur le corrigé ARCHIFRIDAYS. Sous-groupe Diffuse et sous-groupe Project ; la colonne « Pratique actuelle Hager » est pré-remplie avec les sujets transmis par Hager, à confirmer ou corriger.</t>
  </si>
  <si>
    <t xml:space="preserve">Atelier 2 (jour 2)</t>
  </si>
  <si>
    <t xml:space="preserve">Compléter les étapes restantes, noter impact et effort, lire la priorité calculée et l'onglet « Synthèse ».</t>
  </si>
  <si>
    <t xml:space="preserve">Cellules à saisir</t>
  </si>
  <si>
    <t xml:space="preserve">Fond jaune : pratique actuelle, qualification, implication, impact, effort, commentaire.</t>
  </si>
  <si>
    <t xml:space="preserve">Qualification</t>
  </si>
  <si>
    <t xml:space="preserve">Conforme : on suit le standard. Écart justifié : l'écart répond à une contrainte réelle. Écart à questionner : l'écart doit être revu.</t>
  </si>
  <si>
    <t xml:space="preserve">Impact métier (1 à 5)</t>
  </si>
  <si>
    <t xml:space="preserve">1 = gêne mineure, 5 = effet direct sur le chiffre d'affaires, la prévision ou la conformité.</t>
  </si>
  <si>
    <t xml:space="preserve">Effort de retour au standard (1 à 5)</t>
  </si>
  <si>
    <t xml:space="preserve">1 = paramétrage simple, 5 = reprise de données, refonte de processus, conduite du changement lourde.</t>
  </si>
  <si>
    <t xml:space="preserve">Priorité (calculée)</t>
  </si>
  <si>
    <t xml:space="preserve">Gain rapide : impact ≥ 4 et effort ≤ 2. Projet structurant : impact ≥ 4 et effort ≥ 3. Amélioration simple : impact ≤ 3 et effort ≤ 2. À reconsidérer : impact ≤ 3 et effort ≥ 3.</t>
  </si>
  <si>
    <t xml:space="preserve">Corrigé ARCHIFRIDAYS (modèle de réponse)</t>
  </si>
  <si>
    <t xml:space="preserve">Étape</t>
  </si>
  <si>
    <t xml:space="preserve">Standard Dynamics 365 Sales</t>
  </si>
  <si>
    <t xml:space="preserve">Pratique actuelle</t>
  </si>
  <si>
    <t xml:space="preserve">Implication</t>
  </si>
  <si>
    <t xml:space="preserve">Impact métier (1-5)</t>
  </si>
  <si>
    <t xml:space="preserve">Effort retour au standard (1-5)</t>
  </si>
  <si>
    <t xml:space="preserve">Canal (Diffuse / Project)</t>
  </si>
  <si>
    <t xml:space="preserve">Commentaire</t>
  </si>
  <si>
    <t xml:space="preserve">Capture des leads</t>
  </si>
  <si>
    <t xml:space="preserve">Import avec campagne source, détection des doublons</t>
  </si>
  <si>
    <t xml:space="preserve">Trois sources (Eloqua, Lead App des salons, saisie manuelle), sans règle de source unique</t>
  </si>
  <si>
    <t xml:space="preserve">Écart à questionner</t>
  </si>
  <si>
    <t xml:space="preserve">Retour sur investissement des salons non mesuré, doublons entre outils</t>
  </si>
  <si>
    <t xml:space="preserve">Les deux</t>
  </si>
  <si>
    <t xml:space="preserve">Processus Lead to Opportunity, conversion en opportunité</t>
  </si>
  <si>
    <t xml:space="preserve">Entité lead récemment personnalisée, opportunité projet créée à la main</t>
  </si>
  <si>
    <t xml:space="preserve">Double saisie, historique du lead perdu</t>
  </si>
  <si>
    <t xml:space="preserve">Compte</t>
  </si>
  <si>
    <t xml:space="preserve">Compte, hiérarchie de comptes, objectifs ; pas d'équivalent natif complet pour le plan de compte, la qualification par gamme ou la part de portefeuille</t>
  </si>
  <si>
    <t xml:space="preserve">Colonnes spécifiques sur le compte</t>
  </si>
  <si>
    <t xml:space="preserve">Écart justifié, à confirmer</t>
  </si>
  <si>
    <t xml:space="preserve">Désigner le propriétaire et la source des données (saisie, SAP, Power BI)</t>
  </si>
  <si>
    <t xml:space="preserve">Diffuse</t>
  </si>
  <si>
    <t xml:space="preserve">Projet multi-acteurs</t>
  </si>
  <si>
    <t xml:space="preserve">Opportunité, parties prenantes, rôles de connexion, équipe commerciale, concurrents</t>
  </si>
  <si>
    <t xml:space="preserve">Table spécifique « Toile projet », en parallèle des parties prenantes</t>
  </si>
  <si>
    <t xml:space="preserve">Intervenants invisibles pour Copilot et l'analyse des relations ; double saisie avec les parties prenantes</t>
  </si>
  <si>
    <t xml:space="preserve">Project</t>
  </si>
  <si>
    <t xml:space="preserve">Opportunité</t>
  </si>
  <si>
    <t xml:space="preserve">Opportunité standard et processus d'entreprise</t>
  </si>
  <si>
    <t xml:space="preserve">140 colonnes spécifiques, un tiers vides, refonte en cours</t>
  </si>
  <si>
    <t xml:space="preserve">La refonte est l'occasion de revenir au standard</t>
  </si>
  <si>
    <t xml:space="preserve">Visibilité des remises</t>
  </si>
  <si>
    <t xml:space="preserve">Profil de sécurité de colonne</t>
  </si>
  <si>
    <t xml:space="preserve">Conforme</t>
  </si>
  <si>
    <t xml:space="preserve">Aucune</t>
  </si>
  <si>
    <t xml:space="preserve">Devis</t>
  </si>
  <si>
    <t xml:space="preserve">Devis natif, modèle Word, révisions</t>
  </si>
  <si>
    <t xml:space="preserve">Classeur Excel, ressaisi dans SAP par l'ADV</t>
  </si>
  <si>
    <t xml:space="preserve">Erreurs de ressaisie, pas d'historique des versions</t>
  </si>
  <si>
    <t xml:space="preserve">Approbation des remises</t>
  </si>
  <si>
    <t xml:space="preserve">Non natif, extension Power Automate</t>
  </si>
  <si>
    <t xml:space="preserve">E-mail informel à la directrice</t>
  </si>
  <si>
    <t xml:space="preserve">Écart justifié</t>
  </si>
  <si>
    <t xml:space="preserve">Extension low-code à maintenir, traçabilité gagnée</t>
  </si>
  <si>
    <t xml:space="preserve">Commande</t>
  </si>
  <si>
    <t xml:space="preserve">Commande générée depuis le devis gagné</t>
  </si>
  <si>
    <t xml:space="preserve">Saisie par l'ADV dans SAP</t>
  </si>
  <si>
    <t xml:space="preserve">Intégration CRM vers SAP à prévoir</t>
  </si>
  <si>
    <t xml:space="preserve">Facture</t>
  </si>
  <si>
    <t xml:space="preserve">Table facture standard</t>
  </si>
  <si>
    <t xml:space="preserve">SAP uniquement</t>
  </si>
  <si>
    <t xml:space="preserve">Remonter le statut de facturation dans le CRM</t>
  </si>
  <si>
    <t xml:space="preserve">Prévision</t>
  </si>
  <si>
    <t xml:space="preserve">Prévision native, objectifs ; historique via export vers Power BI</t>
  </si>
  <si>
    <t xml:space="preserve">Classeur Excel hebdomadaire consolidé à la main</t>
  </si>
  <si>
    <t xml:space="preserve">Une journée de consolidation par semaine</t>
  </si>
  <si>
    <t xml:space="preserve">Interactions</t>
  </si>
  <si>
    <t xml:space="preserve">Synchronisation Exchange, complément Outlook</t>
  </si>
  <si>
    <t xml:space="preserve">E-mails dans les boîtes individuelles</t>
  </si>
  <si>
    <t xml:space="preserve">Historique perdu au départ d'un commercial</t>
  </si>
  <si>
    <t xml:space="preserve">Rendez-vous</t>
  </si>
  <si>
    <t xml:space="preserve">Rendez-vous standard (objet, description, « Concernant »), préparation avec Copilot</t>
  </si>
  <si>
    <t xml:space="preserve">Colonne spécifique « Objectifs du rendez-vous »</t>
  </si>
  <si>
    <t xml:space="preserve">Écart justifié léger</t>
  </si>
  <si>
    <t xml:space="preserve">Vérifier que la colonne est exploitée après le rendez-vous</t>
  </si>
  <si>
    <t xml:space="preserve">Grille fit-gap Hager</t>
  </si>
  <si>
    <t xml:space="preserve">Pré-remplie avec les sujets transmis par Hager (hypothèses à confirmer). Fond jaune = à compléter. La ligne 4 est un exemple.</t>
  </si>
  <si>
    <t xml:space="preserve">Pratique actuelle Hager (hypothèse à confirmer)</t>
  </si>
  <si>
    <t xml:space="preserve">Exemple : capture des leads</t>
  </si>
  <si>
    <t xml:space="preserve">Leads salons saisis à la main par les commerciaux</t>
  </si>
  <si>
    <t xml:space="preserve">Source des leads inconnue, pas de mesure du ROI</t>
  </si>
  <si>
    <t xml:space="preserve">Ligne d'exemple</t>
  </si>
  <si>
    <t xml:space="preserve">Import avec campagne source, formulaires, détection des doublons</t>
  </si>
  <si>
    <t xml:space="preserve">Leads issus d'Eloqua, de la Lead App (salons) et de l'Event Management Tool ; règle de source à confirmer</t>
  </si>
  <si>
    <t xml:space="preserve">Qualification des leads</t>
  </si>
  <si>
    <t xml:space="preserve">Processus Lead to Opportunity : budget, délai, décideur, besoin</t>
  </si>
  <si>
    <t xml:space="preserve">Entité Lead récemment personnalisée : critères et règles à revoir ensemble</t>
  </si>
  <si>
    <t xml:space="preserve">Conversion en opportunité</t>
  </si>
  <si>
    <t xml:space="preserve">Création de l'opportunité, rattachement au compte et au contact</t>
  </si>
  <si>
    <t xml:space="preserve">À préciser : opportunité projet créée depuis le lead ou à la main ?</t>
  </si>
  <si>
    <t xml:space="preserve">Compte : plan de compte</t>
  </si>
  <si>
    <t xml:space="preserve">Pas d'équivalent natif complet : compte, objectifs, Power BI</t>
  </si>
  <si>
    <t xml:space="preserve">Account Plan spécifique</t>
  </si>
  <si>
    <t xml:space="preserve">Compte : qualification client</t>
  </si>
  <si>
    <t xml:space="preserve">Pas d'équivalent natif : colonnes ou table liée par gamme</t>
  </si>
  <si>
    <t xml:space="preserve">Customer Qualification (fidélité par gamme, déclaratif)</t>
  </si>
  <si>
    <t xml:space="preserve">Compte : part de portefeuille</t>
  </si>
  <si>
    <t xml:space="preserve">Pas d'équivalent natif : calcul Power BI avec données SAP</t>
  </si>
  <si>
    <t xml:space="preserve">Share of wallet spécifique</t>
  </si>
  <si>
    <t xml:space="preserve">Intervenants du projet</t>
  </si>
  <si>
    <t xml:space="preserve">Parties prenantes, rôles de connexion, équipe commerciale, concurrents</t>
  </si>
  <si>
    <t xml:space="preserve">Project Spider (table spécifique des intervenants et de leur rôle)</t>
  </si>
  <si>
    <t xml:space="preserve">Opportunité standard, processus Qualifier, Développer, Proposer, Conclure</t>
  </si>
  <si>
    <t xml:space="preserve">Entité entièrement personnalisée pour les projets ; refonte en cours</t>
  </si>
  <si>
    <t xml:space="preserve">Catalogue et prix</t>
  </si>
  <si>
    <t xml:space="preserve">Familles, unités, listes de prix, produits d'opportunité</t>
  </si>
  <si>
    <t xml:space="preserve">À préciser : catalogue et prix maîtres dans SAP ?</t>
  </si>
  <si>
    <t xml:space="preserve">Devis natif, révisions, modèle Word</t>
  </si>
  <si>
    <t xml:space="preserve">Projets et devis interfacés avec SAP : sens des flux à préciser</t>
  </si>
  <si>
    <t xml:space="preserve">Commande et facture</t>
  </si>
  <si>
    <t xml:space="preserve">Commande depuis le devis gagné ; facture souvent dans l'ERP</t>
  </si>
  <si>
    <t xml:space="preserve">SAP : à préciser</t>
  </si>
  <si>
    <t xml:space="preserve">Rendez-vous standard (objet, description, Concernant), préparation Copilot</t>
  </si>
  <si>
    <t xml:space="preserve">Meeting Objectives (colonne spécifique)</t>
  </si>
  <si>
    <t xml:space="preserve">Synchronisation côté serveur, App for Outlook, chronologie</t>
  </si>
  <si>
    <t xml:space="preserve">À préciser</t>
  </si>
  <si>
    <t xml:space="preserve">Intelligence relationnelle</t>
  </si>
  <si>
    <t xml:space="preserve">Assistant, Copilot (Enterprise) ; analyse des relations (Premium)</t>
  </si>
  <si>
    <t xml:space="preserve">Licence Enterprise : fonctions Premium non disponibles</t>
  </si>
  <si>
    <t xml:space="preserve">Prévision native, catégories, ajustements ; historique via export Power BI</t>
  </si>
  <si>
    <t xml:space="preserve">À préciser ; Power BI et data platform en place</t>
  </si>
  <si>
    <t xml:space="preserve">Reporting et KPI</t>
  </si>
  <si>
    <t xml:space="preserve">Vues, graphiques, tableaux de bord, Power BI</t>
  </si>
  <si>
    <t xml:space="preserve">Power BI et data platform</t>
  </si>
  <si>
    <t xml:space="preserve">Sécurité et visibilité</t>
  </si>
  <si>
    <t xml:space="preserve">Unités commerciales, rôles, équipes, profils de colonne</t>
  </si>
  <si>
    <t xml:space="preserve">Automatisation</t>
  </si>
  <si>
    <t xml:space="preserve">Power Automate, règles métier, séquences</t>
  </si>
  <si>
    <t xml:space="preserve">Intégrations</t>
  </si>
  <si>
    <t xml:space="preserve">Connecteurs et API Dataverse</t>
  </si>
  <si>
    <t xml:space="preserve">SAP (comptes, projets, devis), Eloqua (leads, contacts), Power BI, data platform, Event Management Tool, Lead App</t>
  </si>
  <si>
    <t xml:space="preserve">Synthèse de la grille Hager (calculée)</t>
  </si>
  <si>
    <t xml:space="preserve">Exclut la ligne d'exemple (ligne 4).</t>
  </si>
  <si>
    <t xml:space="preserve">Nombre d'étapes</t>
  </si>
  <si>
    <t xml:space="preserve">Total qualifié</t>
  </si>
  <si>
    <t xml:space="preserve">Priorité</t>
  </si>
  <si>
    <t xml:space="preserve">Nombre d'écarts</t>
  </si>
  <si>
    <t xml:space="preserve">Gain rapide</t>
  </si>
  <si>
    <t xml:space="preserve">Projet structurant</t>
  </si>
  <si>
    <t xml:space="preserve">Amélioration simple</t>
  </si>
  <si>
    <t xml:space="preserve">À reconsidérer</t>
  </si>
  <si>
    <t xml:space="preserve">Aucune action</t>
  </si>
  <si>
    <t xml:space="preserve">Part des étapes conformes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</si>
</sst>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39.5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26.8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26.85" hidden="false" customHeight="fals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18</v>
      </c>
    </row>
    <row r="3" customFormat="false" ht="39.5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10</v>
      </c>
      <c r="E3" s="5" t="s">
        <v>22</v>
      </c>
      <c r="F3" s="5" t="s">
        <v>23</v>
      </c>
      <c r="G3" s="5" t="s">
        <v>24</v>
      </c>
      <c r="H3" s="5" t="s">
        <v>16</v>
      </c>
      <c r="I3" s="5" t="s">
        <v>25</v>
      </c>
      <c r="J3" s="5" t="s">
        <v>26</v>
      </c>
    </row>
    <row r="4" customFormat="false" ht="39.55" hidden="false" customHeight="false" outlineLevel="0" collapsed="false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6" t="n">
        <v>4</v>
      </c>
      <c r="G4" s="6" t="n">
        <v>1</v>
      </c>
      <c r="H4" s="4" t="str">
        <f aca="false">IF(OR(D4="",F4="",G4=""),"",IF(D4="Conforme","Aucune action",IF(AND(F4&gt;=4,G4&lt;=2),"Gain rapide",IF(AND(F4&gt;=4,G4&gt;=3),"Projet structurant",IF(G4&lt;=2,"Amélioration simple","À reconsidérer")))))</f>
        <v>Gain rapide</v>
      </c>
      <c r="I4" s="7" t="s">
        <v>32</v>
      </c>
      <c r="J4" s="4"/>
    </row>
    <row r="5" customFormat="false" ht="26.85" hidden="false" customHeight="false" outlineLevel="0" collapsed="false">
      <c r="A5" s="4" t="s">
        <v>10</v>
      </c>
      <c r="B5" s="4" t="s">
        <v>33</v>
      </c>
      <c r="C5" s="4" t="s">
        <v>34</v>
      </c>
      <c r="D5" s="4" t="s">
        <v>30</v>
      </c>
      <c r="E5" s="4" t="s">
        <v>35</v>
      </c>
      <c r="F5" s="6" t="n">
        <v>4</v>
      </c>
      <c r="G5" s="6" t="n">
        <v>2</v>
      </c>
      <c r="H5" s="4" t="str">
        <f aca="false">IF(OR(D5="",F5="",G5=""),"",IF(D5="Conforme","Aucune action",IF(AND(F5&gt;=4,G5&lt;=2),"Gain rapide",IF(AND(F5&gt;=4,G5&gt;=3),"Projet structurant",IF(G5&lt;=2,"Amélioration simple","À reconsidérer")))))</f>
        <v>Gain rapide</v>
      </c>
      <c r="I5" s="7" t="s">
        <v>32</v>
      </c>
      <c r="J5" s="4"/>
    </row>
    <row r="6" customFormat="false" ht="52.2" hidden="false" customHeight="false" outlineLevel="0" collapsed="false">
      <c r="A6" s="4" t="s">
        <v>36</v>
      </c>
      <c r="B6" s="4" t="s">
        <v>37</v>
      </c>
      <c r="C6" s="4" t="s">
        <v>38</v>
      </c>
      <c r="D6" s="4" t="s">
        <v>39</v>
      </c>
      <c r="E6" s="4" t="s">
        <v>40</v>
      </c>
      <c r="F6" s="6" t="n">
        <v>3</v>
      </c>
      <c r="G6" s="6" t="n">
        <v>3</v>
      </c>
      <c r="H6" s="4" t="str">
        <f aca="false">IF(OR(D6="",F6="",G6=""),"",IF(D6="Conforme","Aucune action",IF(AND(F6&gt;=4,G6&lt;=2),"Gain rapide",IF(AND(F6&gt;=4,G6&gt;=3),"Projet structurant",IF(G6&lt;=2,"Amélioration simple","À reconsidérer")))))</f>
        <v>À reconsidérer</v>
      </c>
      <c r="I6" s="7" t="s">
        <v>41</v>
      </c>
      <c r="J6" s="4"/>
    </row>
    <row r="7" customFormat="false" ht="39.55" hidden="false" customHeight="false" outlineLevel="0" collapsed="false">
      <c r="A7" s="4" t="s">
        <v>42</v>
      </c>
      <c r="B7" s="4" t="s">
        <v>43</v>
      </c>
      <c r="C7" s="4" t="s">
        <v>44</v>
      </c>
      <c r="D7" s="4" t="s">
        <v>30</v>
      </c>
      <c r="E7" s="4" t="s">
        <v>45</v>
      </c>
      <c r="F7" s="6" t="n">
        <v>5</v>
      </c>
      <c r="G7" s="6" t="n">
        <v>4</v>
      </c>
      <c r="H7" s="4" t="str">
        <f aca="false">IF(OR(D7="",F7="",G7=""),"",IF(D7="Conforme","Aucune action",IF(AND(F7&gt;=4,G7&lt;=2),"Gain rapide",IF(AND(F7&gt;=4,G7&gt;=3),"Projet structurant",IF(G7&lt;=2,"Amélioration simple","À reconsidérer")))))</f>
        <v>Projet structurant</v>
      </c>
      <c r="I7" s="7" t="s">
        <v>46</v>
      </c>
      <c r="J7" s="4"/>
    </row>
    <row r="8" customFormat="false" ht="26.85" hidden="false" customHeight="false" outlineLevel="0" collapsed="false">
      <c r="A8" s="4" t="s">
        <v>47</v>
      </c>
      <c r="B8" s="4" t="s">
        <v>48</v>
      </c>
      <c r="C8" s="4" t="s">
        <v>49</v>
      </c>
      <c r="D8" s="4" t="s">
        <v>30</v>
      </c>
      <c r="E8" s="4" t="s">
        <v>50</v>
      </c>
      <c r="F8" s="6" t="n">
        <v>5</v>
      </c>
      <c r="G8" s="6" t="n">
        <v>4</v>
      </c>
      <c r="H8" s="4" t="str">
        <f aca="false">IF(OR(D8="",F8="",G8=""),"",IF(D8="Conforme","Aucune action",IF(AND(F8&gt;=4,G8&lt;=2),"Gain rapide",IF(AND(F8&gt;=4,G8&gt;=3),"Projet structurant",IF(G8&lt;=2,"Amélioration simple","À reconsidérer")))))</f>
        <v>Projet structurant</v>
      </c>
      <c r="I8" s="7" t="s">
        <v>46</v>
      </c>
      <c r="J8" s="4"/>
    </row>
    <row r="9" customFormat="false" ht="15" hidden="false" customHeight="false" outlineLevel="0" collapsed="false">
      <c r="A9" s="4" t="s">
        <v>51</v>
      </c>
      <c r="B9" s="4" t="s">
        <v>52</v>
      </c>
      <c r="C9" s="4" t="s">
        <v>52</v>
      </c>
      <c r="D9" s="4" t="s">
        <v>53</v>
      </c>
      <c r="E9" s="4" t="s">
        <v>54</v>
      </c>
      <c r="F9" s="6" t="n">
        <v>2</v>
      </c>
      <c r="G9" s="6" t="n">
        <v>1</v>
      </c>
      <c r="H9" s="4" t="str">
        <f aca="false">IF(OR(D9="",F9="",G9=""),"",IF(D9="Conforme","Aucune action",IF(AND(F9&gt;=4,G9&lt;=2),"Gain rapide",IF(AND(F9&gt;=4,G9&gt;=3),"Projet structurant",IF(G9&lt;=2,"Amélioration simple","À reconsidérer")))))</f>
        <v>Aucune action</v>
      </c>
      <c r="I9" s="7" t="s">
        <v>32</v>
      </c>
      <c r="J9" s="4"/>
    </row>
    <row r="10" customFormat="false" ht="26.85" hidden="false" customHeight="false" outlineLevel="0" collapsed="false">
      <c r="A10" s="4" t="s">
        <v>55</v>
      </c>
      <c r="B10" s="4" t="s">
        <v>56</v>
      </c>
      <c r="C10" s="4" t="s">
        <v>57</v>
      </c>
      <c r="D10" s="4" t="s">
        <v>30</v>
      </c>
      <c r="E10" s="4" t="s">
        <v>58</v>
      </c>
      <c r="F10" s="6" t="n">
        <v>4</v>
      </c>
      <c r="G10" s="6" t="n">
        <v>3</v>
      </c>
      <c r="H10" s="4" t="str">
        <f aca="false">IF(OR(D10="",F10="",G10=""),"",IF(D10="Conforme","Aucune action",IF(AND(F10&gt;=4,G10&lt;=2),"Gain rapide",IF(AND(F10&gt;=4,G10&gt;=3),"Projet structurant",IF(G10&lt;=2,"Amélioration simple","À reconsidérer")))))</f>
        <v>Projet structurant</v>
      </c>
      <c r="I10" s="7" t="s">
        <v>46</v>
      </c>
      <c r="J10" s="4"/>
    </row>
    <row r="11" customFormat="false" ht="26.85" hidden="false" customHeight="false" outlineLevel="0" collapsed="false">
      <c r="A11" s="4" t="s">
        <v>59</v>
      </c>
      <c r="B11" s="4" t="s">
        <v>60</v>
      </c>
      <c r="C11" s="4" t="s">
        <v>61</v>
      </c>
      <c r="D11" s="4" t="s">
        <v>62</v>
      </c>
      <c r="E11" s="4" t="s">
        <v>63</v>
      </c>
      <c r="F11" s="6" t="n">
        <v>3</v>
      </c>
      <c r="G11" s="6" t="n">
        <v>2</v>
      </c>
      <c r="H11" s="4" t="str">
        <f aca="false">IF(OR(D11="",F11="",G11=""),"",IF(D11="Conforme","Aucune action",IF(AND(F11&gt;=4,G11&lt;=2),"Gain rapide",IF(AND(F11&gt;=4,G11&gt;=3),"Projet structurant",IF(G11&lt;=2,"Amélioration simple","À reconsidérer")))))</f>
        <v>Amélioration simple</v>
      </c>
      <c r="I11" s="7" t="s">
        <v>46</v>
      </c>
      <c r="J11" s="4"/>
    </row>
    <row r="12" customFormat="false" ht="15" hidden="false" customHeight="false" outlineLevel="0" collapsed="false">
      <c r="A12" s="4" t="s">
        <v>64</v>
      </c>
      <c r="B12" s="4" t="s">
        <v>65</v>
      </c>
      <c r="C12" s="4" t="s">
        <v>66</v>
      </c>
      <c r="D12" s="4" t="s">
        <v>62</v>
      </c>
      <c r="E12" s="4" t="s">
        <v>67</v>
      </c>
      <c r="F12" s="6" t="n">
        <v>3</v>
      </c>
      <c r="G12" s="6" t="n">
        <v>4</v>
      </c>
      <c r="H12" s="4" t="str">
        <f aca="false">IF(OR(D12="",F12="",G12=""),"",IF(D12="Conforme","Aucune action",IF(AND(F12&gt;=4,G12&lt;=2),"Gain rapide",IF(AND(F12&gt;=4,G12&gt;=3),"Projet structurant",IF(G12&lt;=2,"Amélioration simple","À reconsidérer")))))</f>
        <v>À reconsidérer</v>
      </c>
      <c r="I12" s="7" t="s">
        <v>32</v>
      </c>
      <c r="J12" s="4"/>
    </row>
    <row r="13" customFormat="false" ht="26.85" hidden="false" customHeight="false" outlineLevel="0" collapsed="false">
      <c r="A13" s="4" t="s">
        <v>68</v>
      </c>
      <c r="B13" s="4" t="s">
        <v>69</v>
      </c>
      <c r="C13" s="4" t="s">
        <v>70</v>
      </c>
      <c r="D13" s="4" t="s">
        <v>62</v>
      </c>
      <c r="E13" s="4" t="s">
        <v>71</v>
      </c>
      <c r="F13" s="6" t="n">
        <v>2</v>
      </c>
      <c r="G13" s="6" t="n">
        <v>3</v>
      </c>
      <c r="H13" s="4" t="str">
        <f aca="false">IF(OR(D13="",F13="",G13=""),"",IF(D13="Conforme","Aucune action",IF(AND(F13&gt;=4,G13&lt;=2),"Gain rapide",IF(AND(F13&gt;=4,G13&gt;=3),"Projet structurant",IF(G13&lt;=2,"Amélioration simple","À reconsidérer")))))</f>
        <v>À reconsidérer</v>
      </c>
      <c r="I13" s="7" t="s">
        <v>32</v>
      </c>
      <c r="J13" s="4"/>
    </row>
    <row r="14" customFormat="false" ht="26.85" hidden="false" customHeight="false" outlineLevel="0" collapsed="false">
      <c r="A14" s="4" t="s">
        <v>72</v>
      </c>
      <c r="B14" s="4" t="s">
        <v>73</v>
      </c>
      <c r="C14" s="4" t="s">
        <v>74</v>
      </c>
      <c r="D14" s="4" t="s">
        <v>30</v>
      </c>
      <c r="E14" s="4" t="s">
        <v>75</v>
      </c>
      <c r="F14" s="6" t="n">
        <v>5</v>
      </c>
      <c r="G14" s="6" t="n">
        <v>2</v>
      </c>
      <c r="H14" s="4" t="str">
        <f aca="false">IF(OR(D14="",F14="",G14=""),"",IF(D14="Conforme","Aucune action",IF(AND(F14&gt;=4,G14&lt;=2),"Gain rapide",IF(AND(F14&gt;=4,G14&gt;=3),"Projet structurant",IF(G14&lt;=2,"Amélioration simple","À reconsidérer")))))</f>
        <v>Gain rapide</v>
      </c>
      <c r="I14" s="7" t="s">
        <v>32</v>
      </c>
      <c r="J14" s="4"/>
    </row>
    <row r="15" customFormat="false" ht="26.85" hidden="false" customHeight="false" outlineLevel="0" collapsed="false">
      <c r="A15" s="4" t="s">
        <v>76</v>
      </c>
      <c r="B15" s="4" t="s">
        <v>77</v>
      </c>
      <c r="C15" s="4" t="s">
        <v>78</v>
      </c>
      <c r="D15" s="4" t="s">
        <v>30</v>
      </c>
      <c r="E15" s="4" t="s">
        <v>79</v>
      </c>
      <c r="F15" s="6" t="n">
        <v>4</v>
      </c>
      <c r="G15" s="6" t="n">
        <v>2</v>
      </c>
      <c r="H15" s="4" t="str">
        <f aca="false">IF(OR(D15="",F15="",G15=""),"",IF(D15="Conforme","Aucune action",IF(AND(F15&gt;=4,G15&lt;=2),"Gain rapide",IF(AND(F15&gt;=4,G15&gt;=3),"Projet structurant",IF(G15&lt;=2,"Amélioration simple","À reconsidérer")))))</f>
        <v>Gain rapide</v>
      </c>
      <c r="I15" s="7" t="s">
        <v>32</v>
      </c>
      <c r="J15" s="4"/>
    </row>
    <row r="16" customFormat="false" ht="26.85" hidden="false" customHeight="false" outlineLevel="0" collapsed="false">
      <c r="A16" s="4" t="s">
        <v>80</v>
      </c>
      <c r="B16" s="4" t="s">
        <v>81</v>
      </c>
      <c r="C16" s="4" t="s">
        <v>82</v>
      </c>
      <c r="D16" s="4" t="s">
        <v>83</v>
      </c>
      <c r="E16" s="4" t="s">
        <v>84</v>
      </c>
      <c r="F16" s="6" t="n">
        <v>2</v>
      </c>
      <c r="G16" s="6" t="n">
        <v>1</v>
      </c>
      <c r="H16" s="4" t="str">
        <f aca="false">IF(OR(D16="",F16="",G16=""),"",IF(D16="Conforme","Aucune action",IF(AND(F16&gt;=4,G16&lt;=2),"Gain rapide",IF(AND(F16&gt;=4,G16&gt;=3),"Projet structurant",IF(G16&lt;=2,"Amélioration simple","À reconsidérer")))))</f>
        <v>Amélioration simple</v>
      </c>
      <c r="I16" s="7" t="s">
        <v>41</v>
      </c>
      <c r="J16" s="4"/>
    </row>
  </sheetData>
  <conditionalFormatting sqref="H4:H16">
    <cfRule type="cellIs" priority="2" operator="equal" aboveAverage="0" equalAverage="0" bottom="0" percent="0" rank="0" text="" dxfId="0">
      <formula>"Gain rapide"</formula>
    </cfRule>
    <cfRule type="cellIs" priority="3" operator="equal" aboveAverage="0" equalAverage="0" bottom="0" percent="0" rank="0" text="" dxfId="1">
      <formula>"Projet structurant"</formula>
    </cfRule>
    <cfRule type="cellIs" priority="4" operator="equal" aboveAverage="0" equalAverage="0" bottom="0" percent="0" rank="0" text="" dxfId="2">
      <formula>"À reconsidérer"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3" customFormat="false" ht="39.55" hidden="false" customHeight="false" outlineLevel="0" collapsed="false">
      <c r="A3" s="5" t="s">
        <v>19</v>
      </c>
      <c r="B3" s="5" t="s">
        <v>20</v>
      </c>
      <c r="C3" s="5" t="s">
        <v>87</v>
      </c>
      <c r="D3" s="5" t="s">
        <v>10</v>
      </c>
      <c r="E3" s="5" t="s">
        <v>22</v>
      </c>
      <c r="F3" s="5" t="s">
        <v>23</v>
      </c>
      <c r="G3" s="5" t="s">
        <v>24</v>
      </c>
      <c r="H3" s="5" t="s">
        <v>16</v>
      </c>
      <c r="I3" s="5" t="s">
        <v>25</v>
      </c>
      <c r="J3" s="5" t="s">
        <v>26</v>
      </c>
    </row>
    <row r="4" customFormat="false" ht="26.85" hidden="false" customHeight="false" outlineLevel="0" collapsed="false">
      <c r="A4" s="4" t="s">
        <v>88</v>
      </c>
      <c r="B4" s="4" t="s">
        <v>28</v>
      </c>
      <c r="C4" s="8" t="s">
        <v>89</v>
      </c>
      <c r="D4" s="8" t="s">
        <v>30</v>
      </c>
      <c r="E4" s="8" t="s">
        <v>90</v>
      </c>
      <c r="F4" s="9" t="n">
        <v>4</v>
      </c>
      <c r="G4" s="9" t="n">
        <v>1</v>
      </c>
      <c r="H4" s="4" t="str">
        <f aca="false">IF(OR(D4="",F4="",G4=""),"",IF(D4="Conforme","Aucune action",IF(AND(F4&gt;=4,G4&lt;=2),"Gain rapide",IF(AND(F4&gt;=4,G4&gt;=3),"Projet structurant",IF(G4&lt;=2,"Amélioration simple","À reconsidérer")))))</f>
        <v>Gain rapide</v>
      </c>
      <c r="I4" s="8" t="s">
        <v>41</v>
      </c>
      <c r="J4" s="8" t="s">
        <v>91</v>
      </c>
    </row>
    <row r="5" customFormat="false" ht="39.55" hidden="false" customHeight="false" outlineLevel="0" collapsed="false">
      <c r="A5" s="10" t="s">
        <v>27</v>
      </c>
      <c r="B5" s="4" t="s">
        <v>92</v>
      </c>
      <c r="C5" s="11" t="s">
        <v>93</v>
      </c>
      <c r="D5" s="8"/>
      <c r="E5" s="8"/>
      <c r="F5" s="9"/>
      <c r="G5" s="9"/>
      <c r="H5" s="4" t="str">
        <f aca="false">IF(OR(D5="",F5="",G5=""),"",IF(D5="Conforme","Aucune action",IF(AND(F5&gt;=4,G5&lt;=2),"Gain rapide",IF(AND(F5&gt;=4,G5&gt;=3),"Projet structurant",IF(G5&lt;=2,"Amélioration simple","À reconsidérer")))))</f>
        <v/>
      </c>
      <c r="I5" s="12" t="s">
        <v>32</v>
      </c>
      <c r="J5" s="8"/>
    </row>
    <row r="6" customFormat="false" ht="26.85" hidden="false" customHeight="false" outlineLevel="0" collapsed="false">
      <c r="A6" s="10" t="s">
        <v>94</v>
      </c>
      <c r="B6" s="4" t="s">
        <v>95</v>
      </c>
      <c r="C6" s="11" t="s">
        <v>96</v>
      </c>
      <c r="D6" s="8"/>
      <c r="E6" s="8"/>
      <c r="F6" s="9"/>
      <c r="G6" s="9"/>
      <c r="H6" s="4" t="str">
        <f aca="false">IF(OR(D6="",F6="",G6=""),"",IF(D6="Conforme","Aucune action",IF(AND(F6&gt;=4,G6&lt;=2),"Gain rapide",IF(AND(F6&gt;=4,G6&gt;=3),"Projet structurant",IF(G6&lt;=2,"Amélioration simple","À reconsidérer")))))</f>
        <v/>
      </c>
      <c r="I6" s="12" t="s">
        <v>32</v>
      </c>
      <c r="J6" s="8"/>
    </row>
    <row r="7" customFormat="false" ht="26.85" hidden="false" customHeight="false" outlineLevel="0" collapsed="false">
      <c r="A7" s="10" t="s">
        <v>97</v>
      </c>
      <c r="B7" s="4" t="s">
        <v>98</v>
      </c>
      <c r="C7" s="11" t="s">
        <v>99</v>
      </c>
      <c r="D7" s="8"/>
      <c r="E7" s="8"/>
      <c r="F7" s="9"/>
      <c r="G7" s="9"/>
      <c r="H7" s="4" t="str">
        <f aca="false">IF(OR(D7="",F7="",G7=""),"",IF(D7="Conforme","Aucune action",IF(AND(F7&gt;=4,G7&lt;=2),"Gain rapide",IF(AND(F7&gt;=4,G7&gt;=3),"Projet structurant",IF(G7&lt;=2,"Amélioration simple","À reconsidérer")))))</f>
        <v/>
      </c>
      <c r="I7" s="12" t="s">
        <v>46</v>
      </c>
      <c r="J7" s="8"/>
    </row>
    <row r="8" customFormat="false" ht="26.85" hidden="false" customHeight="false" outlineLevel="0" collapsed="false">
      <c r="A8" s="10" t="s">
        <v>100</v>
      </c>
      <c r="B8" s="4" t="s">
        <v>101</v>
      </c>
      <c r="C8" s="11" t="s">
        <v>102</v>
      </c>
      <c r="D8" s="8"/>
      <c r="E8" s="8"/>
      <c r="F8" s="9"/>
      <c r="G8" s="9"/>
      <c r="H8" s="4" t="str">
        <f aca="false">IF(OR(D8="",F8="",G8=""),"",IF(D8="Conforme","Aucune action",IF(AND(F8&gt;=4,G8&lt;=2),"Gain rapide",IF(AND(F8&gt;=4,G8&gt;=3),"Projet structurant",IF(G8&lt;=2,"Amélioration simple","À reconsidérer")))))</f>
        <v/>
      </c>
      <c r="I8" s="12" t="s">
        <v>41</v>
      </c>
      <c r="J8" s="8"/>
    </row>
    <row r="9" customFormat="false" ht="26.85" hidden="false" customHeight="false" outlineLevel="0" collapsed="false">
      <c r="A9" s="10" t="s">
        <v>103</v>
      </c>
      <c r="B9" s="4" t="s">
        <v>104</v>
      </c>
      <c r="C9" s="11" t="s">
        <v>105</v>
      </c>
      <c r="D9" s="8"/>
      <c r="E9" s="8"/>
      <c r="F9" s="9"/>
      <c r="G9" s="9"/>
      <c r="H9" s="4" t="str">
        <f aca="false">IF(OR(D9="",F9="",G9=""),"",IF(D9="Conforme","Aucune action",IF(AND(F9&gt;=4,G9&lt;=2),"Gain rapide",IF(AND(F9&gt;=4,G9&gt;=3),"Projet structurant",IF(G9&lt;=2,"Amélioration simple","À reconsidérer")))))</f>
        <v/>
      </c>
      <c r="I9" s="12" t="s">
        <v>41</v>
      </c>
      <c r="J9" s="8"/>
    </row>
    <row r="10" customFormat="false" ht="26.85" hidden="false" customHeight="false" outlineLevel="0" collapsed="false">
      <c r="A10" s="10" t="s">
        <v>106</v>
      </c>
      <c r="B10" s="4" t="s">
        <v>107</v>
      </c>
      <c r="C10" s="11" t="s">
        <v>108</v>
      </c>
      <c r="D10" s="8"/>
      <c r="E10" s="8"/>
      <c r="F10" s="9"/>
      <c r="G10" s="9"/>
      <c r="H10" s="4" t="str">
        <f aca="false">IF(OR(D10="",F10="",G10=""),"",IF(D10="Conforme","Aucune action",IF(AND(F10&gt;=4,G10&lt;=2),"Gain rapide",IF(AND(F10&gt;=4,G10&gt;=3),"Projet structurant",IF(G10&lt;=2,"Amélioration simple","À reconsidérer")))))</f>
        <v/>
      </c>
      <c r="I10" s="12" t="s">
        <v>41</v>
      </c>
      <c r="J10" s="8"/>
    </row>
    <row r="11" customFormat="false" ht="26.85" hidden="false" customHeight="false" outlineLevel="0" collapsed="false">
      <c r="A11" s="10" t="s">
        <v>109</v>
      </c>
      <c r="B11" s="4" t="s">
        <v>110</v>
      </c>
      <c r="C11" s="11" t="s">
        <v>111</v>
      </c>
      <c r="D11" s="8"/>
      <c r="E11" s="8"/>
      <c r="F11" s="9"/>
      <c r="G11" s="9"/>
      <c r="H11" s="4" t="str">
        <f aca="false">IF(OR(D11="",F11="",G11=""),"",IF(D11="Conforme","Aucune action",IF(AND(F11&gt;=4,G11&lt;=2),"Gain rapide",IF(AND(F11&gt;=4,G11&gt;=3),"Projet structurant",IF(G11&lt;=2,"Amélioration simple","À reconsidérer")))))</f>
        <v/>
      </c>
      <c r="I11" s="12" t="s">
        <v>46</v>
      </c>
      <c r="J11" s="8"/>
    </row>
    <row r="12" customFormat="false" ht="26.85" hidden="false" customHeight="false" outlineLevel="0" collapsed="false">
      <c r="A12" s="10" t="s">
        <v>47</v>
      </c>
      <c r="B12" s="4" t="s">
        <v>112</v>
      </c>
      <c r="C12" s="11" t="s">
        <v>113</v>
      </c>
      <c r="D12" s="8"/>
      <c r="E12" s="8"/>
      <c r="F12" s="9"/>
      <c r="G12" s="9"/>
      <c r="H12" s="4" t="str">
        <f aca="false">IF(OR(D12="",F12="",G12=""),"",IF(D12="Conforme","Aucune action",IF(AND(F12&gt;=4,G12&lt;=2),"Gain rapide",IF(AND(F12&gt;=4,G12&gt;=3),"Projet structurant",IF(G12&lt;=2,"Amélioration simple","À reconsidérer")))))</f>
        <v/>
      </c>
      <c r="I12" s="12" t="s">
        <v>46</v>
      </c>
      <c r="J12" s="8"/>
    </row>
    <row r="13" customFormat="false" ht="26.85" hidden="false" customHeight="false" outlineLevel="0" collapsed="false">
      <c r="A13" s="10" t="s">
        <v>114</v>
      </c>
      <c r="B13" s="4" t="s">
        <v>115</v>
      </c>
      <c r="C13" s="11" t="s">
        <v>116</v>
      </c>
      <c r="D13" s="8"/>
      <c r="E13" s="8"/>
      <c r="F13" s="9"/>
      <c r="G13" s="9"/>
      <c r="H13" s="4" t="str">
        <f aca="false">IF(OR(D13="",F13="",G13=""),"",IF(D13="Conforme","Aucune action",IF(AND(F13&gt;=4,G13&lt;=2),"Gain rapide",IF(AND(F13&gt;=4,G13&gt;=3),"Projet structurant",IF(G13&lt;=2,"Amélioration simple","À reconsidérer")))))</f>
        <v/>
      </c>
      <c r="I13" s="12" t="s">
        <v>32</v>
      </c>
      <c r="J13" s="8"/>
    </row>
    <row r="14" customFormat="false" ht="26.85" hidden="false" customHeight="false" outlineLevel="0" collapsed="false">
      <c r="A14" s="10" t="s">
        <v>55</v>
      </c>
      <c r="B14" s="4" t="s">
        <v>117</v>
      </c>
      <c r="C14" s="11" t="s">
        <v>118</v>
      </c>
      <c r="D14" s="8"/>
      <c r="E14" s="8"/>
      <c r="F14" s="9"/>
      <c r="G14" s="9"/>
      <c r="H14" s="4" t="str">
        <f aca="false">IF(OR(D14="",F14="",G14=""),"",IF(D14="Conforme","Aucune action",IF(AND(F14&gt;=4,G14&lt;=2),"Gain rapide",IF(AND(F14&gt;=4,G14&gt;=3),"Projet structurant",IF(G14&lt;=2,"Amélioration simple","À reconsidérer")))))</f>
        <v/>
      </c>
      <c r="I14" s="12" t="s">
        <v>46</v>
      </c>
      <c r="J14" s="8"/>
    </row>
    <row r="15" customFormat="false" ht="26.85" hidden="false" customHeight="false" outlineLevel="0" collapsed="false">
      <c r="A15" s="10" t="s">
        <v>119</v>
      </c>
      <c r="B15" s="4" t="s">
        <v>120</v>
      </c>
      <c r="C15" s="11" t="s">
        <v>121</v>
      </c>
      <c r="D15" s="8"/>
      <c r="E15" s="8"/>
      <c r="F15" s="9"/>
      <c r="G15" s="9"/>
      <c r="H15" s="4" t="str">
        <f aca="false">IF(OR(D15="",F15="",G15=""),"",IF(D15="Conforme","Aucune action",IF(AND(F15&gt;=4,G15&lt;=2),"Gain rapide",IF(AND(F15&gt;=4,G15&gt;=3),"Projet structurant",IF(G15&lt;=2,"Amélioration simple","À reconsidérer")))))</f>
        <v/>
      </c>
      <c r="I15" s="12" t="s">
        <v>32</v>
      </c>
      <c r="J15" s="8"/>
    </row>
    <row r="16" customFormat="false" ht="26.85" hidden="false" customHeight="false" outlineLevel="0" collapsed="false">
      <c r="A16" s="10" t="s">
        <v>80</v>
      </c>
      <c r="B16" s="4" t="s">
        <v>122</v>
      </c>
      <c r="C16" s="11" t="s">
        <v>123</v>
      </c>
      <c r="D16" s="8"/>
      <c r="E16" s="8"/>
      <c r="F16" s="9"/>
      <c r="G16" s="9"/>
      <c r="H16" s="4" t="str">
        <f aca="false">IF(OR(D16="",F16="",G16=""),"",IF(D16="Conforme","Aucune action",IF(AND(F16&gt;=4,G16&lt;=2),"Gain rapide",IF(AND(F16&gt;=4,G16&gt;=3),"Projet structurant",IF(G16&lt;=2,"Amélioration simple","À reconsidérer")))))</f>
        <v/>
      </c>
      <c r="I16" s="12" t="s">
        <v>41</v>
      </c>
      <c r="J16" s="8"/>
    </row>
    <row r="17" customFormat="false" ht="26.85" hidden="false" customHeight="false" outlineLevel="0" collapsed="false">
      <c r="A17" s="10" t="s">
        <v>76</v>
      </c>
      <c r="B17" s="4" t="s">
        <v>124</v>
      </c>
      <c r="C17" s="11" t="s">
        <v>125</v>
      </c>
      <c r="D17" s="8"/>
      <c r="E17" s="8"/>
      <c r="F17" s="9"/>
      <c r="G17" s="9"/>
      <c r="H17" s="4" t="str">
        <f aca="false">IF(OR(D17="",F17="",G17=""),"",IF(D17="Conforme","Aucune action",IF(AND(F17&gt;=4,G17&lt;=2),"Gain rapide",IF(AND(F17&gt;=4,G17&gt;=3),"Projet structurant",IF(G17&lt;=2,"Amélioration simple","À reconsidérer")))))</f>
        <v/>
      </c>
      <c r="I17" s="12" t="s">
        <v>32</v>
      </c>
      <c r="J17" s="8"/>
    </row>
    <row r="18" customFormat="false" ht="26.85" hidden="false" customHeight="false" outlineLevel="0" collapsed="false">
      <c r="A18" s="10" t="s">
        <v>126</v>
      </c>
      <c r="B18" s="4" t="s">
        <v>127</v>
      </c>
      <c r="C18" s="11" t="s">
        <v>128</v>
      </c>
      <c r="D18" s="8"/>
      <c r="E18" s="8"/>
      <c r="F18" s="9"/>
      <c r="G18" s="9"/>
      <c r="H18" s="4" t="str">
        <f aca="false">IF(OR(D18="",F18="",G18=""),"",IF(D18="Conforme","Aucune action",IF(AND(F18&gt;=4,G18&lt;=2),"Gain rapide",IF(AND(F18&gt;=4,G18&gt;=3),"Projet structurant",IF(G18&lt;=2,"Amélioration simple","À reconsidérer")))))</f>
        <v/>
      </c>
      <c r="I18" s="12" t="s">
        <v>32</v>
      </c>
      <c r="J18" s="8"/>
    </row>
    <row r="19" customFormat="false" ht="26.85" hidden="false" customHeight="false" outlineLevel="0" collapsed="false">
      <c r="A19" s="10" t="s">
        <v>72</v>
      </c>
      <c r="B19" s="4" t="s">
        <v>129</v>
      </c>
      <c r="C19" s="11" t="s">
        <v>130</v>
      </c>
      <c r="D19" s="8"/>
      <c r="E19" s="8"/>
      <c r="F19" s="9"/>
      <c r="G19" s="9"/>
      <c r="H19" s="4" t="str">
        <f aca="false">IF(OR(D19="",F19="",G19=""),"",IF(D19="Conforme","Aucune action",IF(AND(F19&gt;=4,G19&lt;=2),"Gain rapide",IF(AND(F19&gt;=4,G19&gt;=3),"Projet structurant",IF(G19&lt;=2,"Amélioration simple","À reconsidérer")))))</f>
        <v/>
      </c>
      <c r="I19" s="12" t="s">
        <v>32</v>
      </c>
      <c r="J19" s="8"/>
    </row>
    <row r="20" customFormat="false" ht="26.85" hidden="false" customHeight="false" outlineLevel="0" collapsed="false">
      <c r="A20" s="10" t="s">
        <v>131</v>
      </c>
      <c r="B20" s="4" t="s">
        <v>132</v>
      </c>
      <c r="C20" s="11" t="s">
        <v>133</v>
      </c>
      <c r="D20" s="8"/>
      <c r="E20" s="8"/>
      <c r="F20" s="9"/>
      <c r="G20" s="9"/>
      <c r="H20" s="4" t="str">
        <f aca="false">IF(OR(D20="",F20="",G20=""),"",IF(D20="Conforme","Aucune action",IF(AND(F20&gt;=4,G20&lt;=2),"Gain rapide",IF(AND(F20&gt;=4,G20&gt;=3),"Projet structurant",IF(G20&lt;=2,"Amélioration simple","À reconsidérer")))))</f>
        <v/>
      </c>
      <c r="I20" s="12" t="s">
        <v>32</v>
      </c>
      <c r="J20" s="8"/>
    </row>
    <row r="21" customFormat="false" ht="26.85" hidden="false" customHeight="false" outlineLevel="0" collapsed="false">
      <c r="A21" s="10" t="s">
        <v>134</v>
      </c>
      <c r="B21" s="4" t="s">
        <v>135</v>
      </c>
      <c r="C21" s="11" t="s">
        <v>125</v>
      </c>
      <c r="D21" s="8"/>
      <c r="E21" s="8"/>
      <c r="F21" s="9"/>
      <c r="G21" s="9"/>
      <c r="H21" s="4" t="str">
        <f aca="false">IF(OR(D21="",F21="",G21=""),"",IF(D21="Conforme","Aucune action",IF(AND(F21&gt;=4,G21&lt;=2),"Gain rapide",IF(AND(F21&gt;=4,G21&gt;=3),"Projet structurant",IF(G21&lt;=2,"Amélioration simple","À reconsidérer")))))</f>
        <v/>
      </c>
      <c r="I21" s="12" t="s">
        <v>32</v>
      </c>
      <c r="J21" s="8"/>
    </row>
    <row r="22" customFormat="false" ht="15" hidden="false" customHeight="false" outlineLevel="0" collapsed="false">
      <c r="A22" s="10" t="s">
        <v>136</v>
      </c>
      <c r="B22" s="4" t="s">
        <v>137</v>
      </c>
      <c r="C22" s="11" t="s">
        <v>125</v>
      </c>
      <c r="D22" s="8"/>
      <c r="E22" s="8"/>
      <c r="F22" s="9"/>
      <c r="G22" s="9"/>
      <c r="H22" s="4" t="str">
        <f aca="false">IF(OR(D22="",F22="",G22=""),"",IF(D22="Conforme","Aucune action",IF(AND(F22&gt;=4,G22&lt;=2),"Gain rapide",IF(AND(F22&gt;=4,G22&gt;=3),"Projet structurant",IF(G22&lt;=2,"Amélioration simple","À reconsidérer")))))</f>
        <v/>
      </c>
      <c r="I22" s="12" t="s">
        <v>32</v>
      </c>
      <c r="J22" s="8"/>
    </row>
    <row r="23" customFormat="false" ht="39.55" hidden="false" customHeight="false" outlineLevel="0" collapsed="false">
      <c r="A23" s="10" t="s">
        <v>138</v>
      </c>
      <c r="B23" s="4" t="s">
        <v>139</v>
      </c>
      <c r="C23" s="11" t="s">
        <v>140</v>
      </c>
      <c r="D23" s="8"/>
      <c r="E23" s="8"/>
      <c r="F23" s="9"/>
      <c r="G23" s="9"/>
      <c r="H23" s="4" t="str">
        <f aca="false">IF(OR(D23="",F23="",G23=""),"",IF(D23="Conforme","Aucune action",IF(AND(F23&gt;=4,G23&lt;=2),"Gain rapide",IF(AND(F23&gt;=4,G23&gt;=3),"Projet structurant",IF(G23&lt;=2,"Amélioration simple","À reconsidérer")))))</f>
        <v/>
      </c>
      <c r="I23" s="12" t="s">
        <v>32</v>
      </c>
      <c r="J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9"/>
      <c r="G24" s="9"/>
      <c r="H24" s="4" t="str">
        <f aca="false">IF(OR(D24="",F24="",G24=""),"",IF(D24="Conforme","Aucune action",IF(AND(F24&gt;=4,G24&lt;=2),"Gain rapide",IF(AND(F24&gt;=4,G24&gt;=3),"Projet structurant",IF(G24&lt;=2,"Amélioration simple","À reconsidérer")))))</f>
        <v/>
      </c>
      <c r="I24" s="8"/>
      <c r="J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9"/>
      <c r="G25" s="9"/>
      <c r="H25" s="4" t="str">
        <f aca="false">IF(OR(D25="",F25="",G25=""),"",IF(D25="Conforme","Aucune action",IF(AND(F25&gt;=4,G25&lt;=2),"Gain rapide",IF(AND(F25&gt;=4,G25&gt;=3),"Projet structurant",IF(G25&lt;=2,"Amélioration simple","À reconsidérer")))))</f>
        <v/>
      </c>
      <c r="I25" s="8"/>
      <c r="J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9"/>
      <c r="G26" s="9"/>
      <c r="H26" s="4" t="str">
        <f aca="false">IF(OR(D26="",F26="",G26=""),"",IF(D26="Conforme","Aucune action",IF(AND(F26&gt;=4,G26&lt;=2),"Gain rapide",IF(AND(F26&gt;=4,G26&gt;=3),"Projet structurant",IF(G26&lt;=2,"Amélioration simple","À reconsidérer")))))</f>
        <v/>
      </c>
      <c r="I26" s="8"/>
      <c r="J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9"/>
      <c r="G27" s="9"/>
      <c r="H27" s="4" t="str">
        <f aca="false">IF(OR(D27="",F27="",G27=""),"",IF(D27="Conforme","Aucune action",IF(AND(F27&gt;=4,G27&lt;=2),"Gain rapide",IF(AND(F27&gt;=4,G27&gt;=3),"Projet structurant",IF(G27&lt;=2,"Amélioration simple","À reconsidérer")))))</f>
        <v/>
      </c>
      <c r="I27" s="8"/>
      <c r="J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9"/>
      <c r="G28" s="9"/>
      <c r="H28" s="4" t="str">
        <f aca="false">IF(OR(D28="",F28="",G28=""),"",IF(D28="Conforme","Aucune action",IF(AND(F28&gt;=4,G28&lt;=2),"Gain rapide",IF(AND(F28&gt;=4,G28&gt;=3),"Projet structurant",IF(G28&lt;=2,"Amélioration simple","À reconsidérer")))))</f>
        <v/>
      </c>
      <c r="I28" s="8"/>
      <c r="J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9"/>
      <c r="G29" s="9"/>
      <c r="H29" s="4" t="str">
        <f aca="false">IF(OR(D29="",F29="",G29=""),"",IF(D29="Conforme","Aucune action",IF(AND(F29&gt;=4,G29&lt;=2),"Gain rapide",IF(AND(F29&gt;=4,G29&gt;=3),"Projet structurant",IF(G29&lt;=2,"Amélioration simple","À reconsidérer")))))</f>
        <v/>
      </c>
      <c r="I29" s="8"/>
      <c r="J29" s="8"/>
    </row>
  </sheetData>
  <conditionalFormatting sqref="H4:H29">
    <cfRule type="cellIs" priority="2" operator="equal" aboveAverage="0" equalAverage="0" bottom="0" percent="0" rank="0" text="" dxfId="0">
      <formula>"Gain rapide"</formula>
    </cfRule>
    <cfRule type="cellIs" priority="3" operator="equal" aboveAverage="0" equalAverage="0" bottom="0" percent="0" rank="0" text="" dxfId="1">
      <formula>"Projet structurant"</formula>
    </cfRule>
    <cfRule type="cellIs" priority="4" operator="equal" aboveAverage="0" equalAverage="0" bottom="0" percent="0" rank="0" text="" dxfId="2">
      <formula>"À reconsidérer"</formula>
    </cfRule>
  </conditionalFormatting>
  <dataValidations count="3">
    <dataValidation allowBlank="true" errorStyle="stop" operator="between" showDropDown="false" showErrorMessage="false" showInputMessage="false" sqref="I24:I29" type="list">
      <formula1>"Diffuse,Project,Les deux"</formula1>
      <formula2>0</formula2>
    </dataValidation>
    <dataValidation allowBlank="true" errorStyle="stop" operator="between" showDropDown="false" showErrorMessage="false" showInputMessage="false" sqref="D4:D29" type="list">
      <formula1>"Conforme,Écart justifié,Écart à questionner"</formula1>
      <formula2>0</formula2>
    </dataValidation>
    <dataValidation allowBlank="true" error="Saisir une note entière de 1 à 5" errorStyle="stop" operator="between" showDropDown="false" showErrorMessage="true" showInputMessage="false" sqref="F4:G2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2" t="s">
        <v>142</v>
      </c>
    </row>
    <row r="4" customFormat="false" ht="15" hidden="false" customHeight="false" outlineLevel="0" collapsed="false">
      <c r="A4" s="5" t="s">
        <v>10</v>
      </c>
      <c r="B4" s="5" t="s">
        <v>143</v>
      </c>
    </row>
    <row r="5" customFormat="false" ht="15" hidden="false" customHeight="false" outlineLevel="0" collapsed="false">
      <c r="A5" s="4" t="s">
        <v>53</v>
      </c>
      <c r="B5" s="13" t="n">
        <f aca="false">COUNTIF('Grille Hager'!$D$5:$D$29,A5)</f>
        <v>0</v>
      </c>
    </row>
    <row r="6" customFormat="false" ht="15" hidden="false" customHeight="false" outlineLevel="0" collapsed="false">
      <c r="A6" s="4" t="s">
        <v>62</v>
      </c>
      <c r="B6" s="13" t="n">
        <f aca="false">COUNTIF('Grille Hager'!$D$5:$D$29,A6)</f>
        <v>0</v>
      </c>
    </row>
    <row r="7" customFormat="false" ht="15" hidden="false" customHeight="false" outlineLevel="0" collapsed="false">
      <c r="A7" s="4" t="s">
        <v>30</v>
      </c>
      <c r="B7" s="13" t="n">
        <f aca="false">COUNTIF('Grille Hager'!$D$5:$D$29,A7)</f>
        <v>0</v>
      </c>
    </row>
    <row r="8" customFormat="false" ht="15" hidden="false" customHeight="false" outlineLevel="0" collapsed="false">
      <c r="A8" s="10" t="s">
        <v>144</v>
      </c>
      <c r="B8" s="10" t="n">
        <f aca="false">SUM(B5:B7)</f>
        <v>0</v>
      </c>
    </row>
    <row r="10" customFormat="false" ht="15" hidden="false" customHeight="false" outlineLevel="0" collapsed="false">
      <c r="A10" s="5" t="s">
        <v>145</v>
      </c>
      <c r="B10" s="5" t="s">
        <v>146</v>
      </c>
    </row>
    <row r="11" customFormat="false" ht="15" hidden="false" customHeight="false" outlineLevel="0" collapsed="false">
      <c r="A11" s="4" t="s">
        <v>147</v>
      </c>
      <c r="B11" s="13" t="n">
        <f aca="false">COUNTIF('Grille Hager'!$H$5:$H$29,A11)</f>
        <v>0</v>
      </c>
    </row>
    <row r="12" customFormat="false" ht="15" hidden="false" customHeight="false" outlineLevel="0" collapsed="false">
      <c r="A12" s="4" t="s">
        <v>148</v>
      </c>
      <c r="B12" s="13" t="n">
        <f aca="false">COUNTIF('Grille Hager'!$H$5:$H$29,A12)</f>
        <v>0</v>
      </c>
    </row>
    <row r="13" customFormat="false" ht="15" hidden="false" customHeight="false" outlineLevel="0" collapsed="false">
      <c r="A13" s="4" t="s">
        <v>149</v>
      </c>
      <c r="B13" s="13" t="n">
        <f aca="false">COUNTIF('Grille Hager'!$H$5:$H$29,A13)</f>
        <v>0</v>
      </c>
    </row>
    <row r="14" customFormat="false" ht="15" hidden="false" customHeight="false" outlineLevel="0" collapsed="false">
      <c r="A14" s="4" t="s">
        <v>150</v>
      </c>
      <c r="B14" s="13" t="n">
        <f aca="false">COUNTIF('Grille Hager'!$H$5:$H$29,A14)</f>
        <v>0</v>
      </c>
    </row>
    <row r="15" customFormat="false" ht="15" hidden="false" customHeight="false" outlineLevel="0" collapsed="false">
      <c r="A15" s="4" t="s">
        <v>151</v>
      </c>
      <c r="B15" s="13" t="n">
        <f aca="false">COUNTIF('Grille Hager'!$H$5:$H$29,A15)</f>
        <v>0</v>
      </c>
    </row>
    <row r="17" customFormat="false" ht="15" hidden="false" customHeight="false" outlineLevel="0" collapsed="false">
      <c r="A17" s="10" t="s">
        <v>152</v>
      </c>
      <c r="B17" s="14" t="n">
        <f aca="false">IF(B8=0,0,B5/B8)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85964E25350F4FB3FE643AE11B2B20" ma:contentTypeVersion="11" ma:contentTypeDescription="Crée un document." ma:contentTypeScope="" ma:versionID="e7f39a783ac8ecc05738e5ff5477c03a">
  <xsd:schema xmlns:xsd="http://www.w3.org/2001/XMLSchema" xmlns:xs="http://www.w3.org/2001/XMLSchema" xmlns:p="http://schemas.microsoft.com/office/2006/metadata/properties" xmlns:ns2="d9df9240-fc95-4deb-9c9d-de700c44a7a7" xmlns:ns3="33363a87-7e43-46da-9332-4c6d176b06e4" targetNamespace="http://schemas.microsoft.com/office/2006/metadata/properties" ma:root="true" ma:fieldsID="1f2644dde6637e6a93862dcbdf794115" ns2:_="" ns3:_="">
    <xsd:import namespace="d9df9240-fc95-4deb-9c9d-de700c44a7a7"/>
    <xsd:import namespace="33363a87-7e43-46da-9332-4c6d176b0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f9240-fc95-4deb-9c9d-de700c44a7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ef1542d-73bf-4483-a10a-dd7f0542ff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63a87-7e43-46da-9332-4c6d176b06e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3c4884d-0209-46c7-838c-3dc439699bfd}" ma:internalName="TaxCatchAll" ma:showField="CatchAllData" ma:web="33363a87-7e43-46da-9332-4c6d176b06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363a87-7e43-46da-9332-4c6d176b06e4" xsi:nil="true"/>
    <lcf76f155ced4ddcb4097134ff3c332f xmlns="d9df9240-fc95-4deb-9c9d-de700c44a7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1A7017-E011-4816-ACB5-69C8FA76499E}"/>
</file>

<file path=customXml/itemProps2.xml><?xml version="1.0" encoding="utf-8"?>
<ds:datastoreItem xmlns:ds="http://schemas.openxmlformats.org/officeDocument/2006/customXml" ds:itemID="{C6F4EA5E-51ED-472A-AC14-89778C4ECB28}"/>
</file>

<file path=customXml/itemProps3.xml><?xml version="1.0" encoding="utf-8"?>
<ds:datastoreItem xmlns:ds="http://schemas.openxmlformats.org/officeDocument/2006/customXml" ds:itemID="{6B8DF30E-EC50-41C8-B33E-2966E7F5199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2026-10-12T11:21:14Z</dcterms:created>
  <dcterms:modified xsi:type="dcterms:W3CDTF">2026-10-12T11:21:14Z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0x0101000085964E25350F4FB3FE643AE11B2B20</vt:lpwstr>
  </property>
</Properties>
</file>