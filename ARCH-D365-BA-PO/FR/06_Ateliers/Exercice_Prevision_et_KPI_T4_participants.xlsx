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" sheetId="1" state="visible" r:id="rId3"/>
    <sheet name="Pipeline" sheetId="2" state="visible" r:id="rId4"/>
    <sheet name="Synthèse" sheetId="3" state="visible" r:id="rId5"/>
    <sheet name="KPI à défini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<sst xmlns="http://schemas.openxmlformats.org/spreadsheetml/2006/main" count="144" uniqueCount="107">
  <si>
    <t xml:space="preserve">Exercice de prévision : région Sud-Est, T4 2026</t>
  </si>
  <si>
    <t xml:space="preserve">Épisode 7. Fond jaune = hypothèses modifiables.</t>
  </si>
  <si>
    <t xml:space="preserve">Objectif de la région (EUR)</t>
  </si>
  <si>
    <t xml:space="preserve">Date de référence</t>
  </si>
  <si>
    <t xml:space="preserve">Lundi 16/11/2026</t>
  </si>
  <si>
    <t xml:space="preserve">Source</t>
  </si>
  <si>
    <t xml:space="preserve">Jeu de données fictif ARCHIFRIDAYS (onglet 10_Opportunites_T4)</t>
  </si>
  <si>
    <t xml:space="preserve">Commercial</t>
  </si>
  <si>
    <t xml:space="preserve">Objectif T4 (EUR)</t>
  </si>
  <si>
    <t xml:space="preserve">Sophie Leroy</t>
  </si>
  <si>
    <t xml:space="preserve">Julien Bernard</t>
  </si>
  <si>
    <t xml:space="preserve">Karim Haddad</t>
  </si>
  <si>
    <t xml:space="preserve">Contrôle : somme des objectifs = objectif région</t>
  </si>
  <si>
    <t xml:space="preserve">Pipeline Sud-Est T4 2026</t>
  </si>
  <si>
    <t xml:space="preserve">Colonnes jaunes : vos propositions (catégorie ajustée, retenu dans l'atterrissage, commentaire).</t>
  </si>
  <si>
    <t xml:space="preserve">Opportunité</t>
  </si>
  <si>
    <t xml:space="preserve">Client potentiel</t>
  </si>
  <si>
    <t xml:space="preserve">Responsable</t>
  </si>
  <si>
    <t xml:space="preserve">Étape</t>
  </si>
  <si>
    <t xml:space="preserve">Montant estimé (EUR)</t>
  </si>
  <si>
    <t xml:space="preserve">Probabilité</t>
  </si>
  <si>
    <t xml:space="preserve">Montant pondéré (EUR)</t>
  </si>
  <si>
    <t xml:space="preserve">Catégorie de prévision</t>
  </si>
  <si>
    <t xml:space="preserve">Clôture estimée</t>
  </si>
  <si>
    <t xml:space="preserve">Catégorie ajustée (proposition)</t>
  </si>
  <si>
    <t xml:space="preserve">Retenu dans l'atterrissage (Oui/Non)</t>
  </si>
  <si>
    <t xml:space="preserve">Commentaire</t>
  </si>
  <si>
    <t xml:space="preserve">Catégorie finale (calculée)</t>
  </si>
  <si>
    <t xml:space="preserve">Entrepôt Logisud, distribution d'énergie</t>
  </si>
  <si>
    <t xml:space="preserve">Électricité Rhône Services</t>
  </si>
  <si>
    <t xml:space="preserve">Gagnée</t>
  </si>
  <si>
    <t xml:space="preserve">Gagné</t>
  </si>
  <si>
    <t xml:space="preserve">14/10/2026</t>
  </si>
  <si>
    <t xml:space="preserve">Hôtel Belvédère, domotique</t>
  </si>
  <si>
    <t xml:space="preserve">Alpes Élec</t>
  </si>
  <si>
    <t xml:space="preserve">22/10/2026</t>
  </si>
  <si>
    <t xml:space="preserve">Parking Confluence, 40 bornes</t>
  </si>
  <si>
    <t xml:space="preserve">VoltPark Exploitation</t>
  </si>
  <si>
    <t xml:space="preserve">Conclure</t>
  </si>
  <si>
    <t xml:space="preserve">Validé</t>
  </si>
  <si>
    <t xml:space="preserve">05/11/2026</t>
  </si>
  <si>
    <t xml:space="preserve">Centre commercial Les Arcades, maintenance 3 ans</t>
  </si>
  <si>
    <t xml:space="preserve">Foncière Arcades</t>
  </si>
  <si>
    <t xml:space="preserve">15/11/2026</t>
  </si>
  <si>
    <t xml:space="preserve">Accord cadre bornes 2027</t>
  </si>
  <si>
    <t xml:space="preserve">Groupe Distelec</t>
  </si>
  <si>
    <t xml:space="preserve">30/11/2026</t>
  </si>
  <si>
    <t xml:space="preserve">Ville de Sainte-Aurore, bornes de voirie</t>
  </si>
  <si>
    <t xml:space="preserve">Ville de Sainte-Aurore</t>
  </si>
  <si>
    <t xml:space="preserve">Proposer</t>
  </si>
  <si>
    <t xml:space="preserve">Meilleur cas</t>
  </si>
  <si>
    <t xml:space="preserve">28/11/2026</t>
  </si>
  <si>
    <t xml:space="preserve">Lycée Ampère, GTB</t>
  </si>
  <si>
    <t xml:space="preserve">Région Rhône-Sud</t>
  </si>
  <si>
    <t xml:space="preserve">10/12/2026</t>
  </si>
  <si>
    <t xml:space="preserve">Campus Lumière, lot électricité</t>
  </si>
  <si>
    <t xml:space="preserve">Vitalis Immobilier</t>
  </si>
  <si>
    <t xml:space="preserve">15/12/2026</t>
  </si>
  <si>
    <t xml:space="preserve">Clinique Saint-Roch, rénovation TGBT</t>
  </si>
  <si>
    <t xml:space="preserve">Développer</t>
  </si>
  <si>
    <t xml:space="preserve">Pipeline</t>
  </si>
  <si>
    <t xml:space="preserve">20/12/2026</t>
  </si>
  <si>
    <t xml:space="preserve">Résidence Les Tilleuls, 120 logements</t>
  </si>
  <si>
    <t xml:space="preserve">Habitat Rhodanien</t>
  </si>
  <si>
    <t xml:space="preserve">Qualifier</t>
  </si>
  <si>
    <t xml:space="preserve">18/12/2026</t>
  </si>
  <si>
    <t xml:space="preserve">Data center Vénissieux, TGBT</t>
  </si>
  <si>
    <t xml:space="preserve">Nexadata</t>
  </si>
  <si>
    <t xml:space="preserve">22/12/2026</t>
  </si>
  <si>
    <t xml:space="preserve">Usine Méca-Rhône, stockage d'énergie</t>
  </si>
  <si>
    <t xml:space="preserve">Méca-Rhône</t>
  </si>
  <si>
    <t xml:space="preserve">Omis</t>
  </si>
  <si>
    <t xml:space="preserve">31/12/2026</t>
  </si>
  <si>
    <t xml:space="preserve">Total</t>
  </si>
  <si>
    <t xml:space="preserve">Synthèse de la prévision (calculée)</t>
  </si>
  <si>
    <t xml:space="preserve">Catégorie</t>
  </si>
  <si>
    <t xml:space="preserve">Montant (EUR)</t>
  </si>
  <si>
    <t xml:space="preserve">Cumul (EUR)</t>
  </si>
  <si>
    <t xml:space="preserve">Couverture de l'objectif</t>
  </si>
  <si>
    <t xml:space="preserve">Montant ajusté (EUR)</t>
  </si>
  <si>
    <t xml:space="preserve">hors prévision</t>
  </si>
  <si>
    <t xml:space="preserve">Atterrissage proposé (lignes « Oui »)</t>
  </si>
  <si>
    <t xml:space="preserve">Écart à l'objectif (EUR)</t>
  </si>
  <si>
    <t xml:space="preserve">Objectif (EUR)</t>
  </si>
  <si>
    <t xml:space="preserve">Gagné (EUR)</t>
  </si>
  <si>
    <t xml:space="preserve">Validé (EUR)</t>
  </si>
  <si>
    <t xml:space="preserve">Meilleur cas (EUR)</t>
  </si>
  <si>
    <t xml:space="preserve">Couverture gagné + validé</t>
  </si>
  <si>
    <t xml:space="preserve">Référentiel KPI de la direction commerciale</t>
  </si>
  <si>
    <t xml:space="preserve">Fond jaune = à compléter en atelier. La ligne 4 est un exemple.</t>
  </si>
  <si>
    <t xml:space="preserve">N°</t>
  </si>
  <si>
    <t xml:space="preserve">Indicateur</t>
  </si>
  <si>
    <t xml:space="preserve">Définition</t>
  </si>
  <si>
    <t xml:space="preserve">Formule de calcul</t>
  </si>
  <si>
    <t xml:space="preserve">Source dans Dynamics 365</t>
  </si>
  <si>
    <t xml:space="preserve">Fréquence</t>
  </si>
  <si>
    <t xml:space="preserve">Destinataire</t>
  </si>
  <si>
    <t xml:space="preserve">Propriétaire de la donnée</t>
  </si>
  <si>
    <t xml:space="preserve">Natif ou Power BI</t>
  </si>
  <si>
    <t xml:space="preserve">Exemple : couverture de l'objectif</t>
  </si>
  <si>
    <t xml:space="preserve">Part de l'objectif couverte par le gagné et le validé</t>
  </si>
  <si>
    <t xml:space="preserve">(Gagné + Validé) / Objectif</t>
  </si>
  <si>
    <t xml:space="preserve">Prévision native, objectifs</t>
  </si>
  <si>
    <t xml:space="preserve">Hebdomadaire</t>
  </si>
  <si>
    <t xml:space="preserve">Directrice commerciale</t>
  </si>
  <si>
    <t xml:space="preserve">Commerciaux (catégorie, montant, date)</t>
  </si>
  <si>
    <t xml:space="preserve">Natif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</si>
</sst>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%"/>
    <numFmt numFmtId="167" formatCode="#,##0&quot; €&quot;;\-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1600000</v>
      </c>
    </row>
    <row r="5" customFormat="false" ht="15" hidden="false" customHeight="false" outlineLevel="0" collapsed="false">
      <c r="A5" s="3" t="s">
        <v>3</v>
      </c>
      <c r="B5" s="5" t="s">
        <v>4</v>
      </c>
    </row>
    <row r="6" customFormat="false" ht="39.55" hidden="false" customHeight="false" outlineLevel="0" collapsed="false">
      <c r="A6" s="3" t="s">
        <v>5</v>
      </c>
      <c r="B6" s="6" t="s">
        <v>6</v>
      </c>
    </row>
    <row r="8" customFormat="false" ht="15" hidden="false" customHeight="false" outlineLevel="0" collapsed="false">
      <c r="A8" s="7" t="s">
        <v>7</v>
      </c>
      <c r="B8" s="7" t="s">
        <v>8</v>
      </c>
    </row>
    <row r="9" customFormat="false" ht="15" hidden="false" customHeight="false" outlineLevel="0" collapsed="false">
      <c r="A9" s="6" t="s">
        <v>9</v>
      </c>
      <c r="B9" s="4" t="n">
        <v>700000</v>
      </c>
    </row>
    <row r="10" customFormat="false" ht="15" hidden="false" customHeight="false" outlineLevel="0" collapsed="false">
      <c r="A10" s="6" t="s">
        <v>10</v>
      </c>
      <c r="B10" s="4" t="n">
        <v>600000</v>
      </c>
    </row>
    <row r="11" customFormat="false" ht="15" hidden="false" customHeight="false" outlineLevel="0" collapsed="false">
      <c r="A11" s="6" t="s">
        <v>11</v>
      </c>
      <c r="B11" s="4" t="n">
        <v>300000</v>
      </c>
    </row>
    <row r="12" customFormat="false" ht="26.85" hidden="false" customHeight="false" outlineLevel="0" collapsed="false">
      <c r="A12" s="8" t="s">
        <v>12</v>
      </c>
      <c r="B12" s="6" t="str">
        <f aca="false">IF(SUM(B9:B11)=B4,"OK","Écart")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40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39.55" hidden="false" customHeight="false" outlineLevel="0" collapsed="false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11</v>
      </c>
      <c r="D4" s="6" t="s">
        <v>30</v>
      </c>
      <c r="E4" s="9" t="n">
        <v>140000</v>
      </c>
      <c r="F4" s="10" t="n">
        <v>1</v>
      </c>
      <c r="G4" s="11" t="n">
        <f aca="false">E4*F4</f>
        <v>140000</v>
      </c>
      <c r="H4" s="6" t="s">
        <v>31</v>
      </c>
      <c r="I4" s="6" t="s">
        <v>32</v>
      </c>
      <c r="J4" s="12"/>
      <c r="K4" s="12"/>
      <c r="L4" s="12"/>
      <c r="M4" s="6" t="str">
        <f aca="false">IF(J4="",H4,J4)</f>
        <v>Gagné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s">
        <v>11</v>
      </c>
      <c r="D5" s="6" t="s">
        <v>30</v>
      </c>
      <c r="E5" s="9" t="n">
        <v>62000</v>
      </c>
      <c r="F5" s="10" t="n">
        <v>1</v>
      </c>
      <c r="G5" s="11" t="n">
        <f aca="false">E5*F5</f>
        <v>62000</v>
      </c>
      <c r="H5" s="6" t="s">
        <v>31</v>
      </c>
      <c r="I5" s="6" t="s">
        <v>35</v>
      </c>
      <c r="J5" s="12"/>
      <c r="K5" s="12"/>
      <c r="L5" s="12"/>
      <c r="M5" s="6" t="str">
        <f aca="false">IF(J5="",H5,J5)</f>
        <v>Gagné</v>
      </c>
    </row>
    <row r="6" customFormat="false" ht="15" hidden="false" customHeight="false" outlineLevel="0" collapsed="false">
      <c r="A6" s="6" t="s">
        <v>36</v>
      </c>
      <c r="B6" s="6" t="s">
        <v>37</v>
      </c>
      <c r="C6" s="6" t="s">
        <v>10</v>
      </c>
      <c r="D6" s="6" t="s">
        <v>38</v>
      </c>
      <c r="E6" s="9" t="n">
        <v>125000</v>
      </c>
      <c r="F6" s="10" t="n">
        <v>0.9</v>
      </c>
      <c r="G6" s="11" t="n">
        <f aca="false">E6*F6</f>
        <v>112500</v>
      </c>
      <c r="H6" s="6" t="s">
        <v>39</v>
      </c>
      <c r="I6" s="6" t="s">
        <v>40</v>
      </c>
      <c r="J6" s="12"/>
      <c r="K6" s="12"/>
      <c r="L6" s="12"/>
      <c r="M6" s="6" t="str">
        <f aca="false">IF(J6="",H6,J6)</f>
        <v>Validé</v>
      </c>
    </row>
    <row r="7" customFormat="false" ht="26.85" hidden="false" customHeight="false" outlineLevel="0" collapsed="false">
      <c r="A7" s="6" t="s">
        <v>41</v>
      </c>
      <c r="B7" s="6" t="s">
        <v>42</v>
      </c>
      <c r="C7" s="6" t="s">
        <v>10</v>
      </c>
      <c r="D7" s="6" t="s">
        <v>38</v>
      </c>
      <c r="E7" s="9" t="n">
        <v>76000</v>
      </c>
      <c r="F7" s="10" t="n">
        <v>0.8</v>
      </c>
      <c r="G7" s="11" t="n">
        <f aca="false">E7*F7</f>
        <v>60800</v>
      </c>
      <c r="H7" s="6" t="s">
        <v>39</v>
      </c>
      <c r="I7" s="6" t="s">
        <v>43</v>
      </c>
      <c r="J7" s="12"/>
      <c r="K7" s="12"/>
      <c r="L7" s="12"/>
      <c r="M7" s="6" t="str">
        <f aca="false">IF(J7="",H7,J7)</f>
        <v>Validé</v>
      </c>
    </row>
    <row r="8" customFormat="false" ht="15" hidden="false" customHeight="false" outlineLevel="0" collapsed="false">
      <c r="A8" s="6" t="s">
        <v>44</v>
      </c>
      <c r="B8" s="6" t="s">
        <v>45</v>
      </c>
      <c r="C8" s="6" t="s">
        <v>10</v>
      </c>
      <c r="D8" s="6" t="s">
        <v>38</v>
      </c>
      <c r="E8" s="9" t="n">
        <v>410000</v>
      </c>
      <c r="F8" s="10" t="n">
        <v>0.8</v>
      </c>
      <c r="G8" s="11" t="n">
        <f aca="false">E8*F8</f>
        <v>328000</v>
      </c>
      <c r="H8" s="6" t="s">
        <v>39</v>
      </c>
      <c r="I8" s="6" t="s">
        <v>46</v>
      </c>
      <c r="J8" s="12"/>
      <c r="K8" s="12"/>
      <c r="L8" s="12"/>
      <c r="M8" s="6" t="str">
        <f aca="false">IF(J8="",H8,J8)</f>
        <v>Validé</v>
      </c>
    </row>
    <row r="9" customFormat="false" ht="15" hidden="false" customHeight="false" outlineLevel="0" collapsed="false">
      <c r="A9" s="6" t="s">
        <v>47</v>
      </c>
      <c r="B9" s="6" t="s">
        <v>48</v>
      </c>
      <c r="C9" s="6" t="s">
        <v>9</v>
      </c>
      <c r="D9" s="6" t="s">
        <v>49</v>
      </c>
      <c r="E9" s="9" t="n">
        <v>88000</v>
      </c>
      <c r="F9" s="10" t="n">
        <v>0.6</v>
      </c>
      <c r="G9" s="11" t="n">
        <f aca="false">E9*F9</f>
        <v>52800</v>
      </c>
      <c r="H9" s="6" t="s">
        <v>50</v>
      </c>
      <c r="I9" s="6" t="s">
        <v>51</v>
      </c>
      <c r="J9" s="12"/>
      <c r="K9" s="12"/>
      <c r="L9" s="12"/>
      <c r="M9" s="6" t="str">
        <f aca="false">IF(J9="",H9,J9)</f>
        <v>Meilleur cas</v>
      </c>
    </row>
    <row r="10" customFormat="false" ht="15" hidden="false" customHeight="false" outlineLevel="0" collapsed="false">
      <c r="A10" s="6" t="s">
        <v>52</v>
      </c>
      <c r="B10" s="6" t="s">
        <v>53</v>
      </c>
      <c r="C10" s="6" t="s">
        <v>9</v>
      </c>
      <c r="D10" s="6" t="s">
        <v>49</v>
      </c>
      <c r="E10" s="9" t="n">
        <v>180000</v>
      </c>
      <c r="F10" s="10" t="n">
        <v>0.5</v>
      </c>
      <c r="G10" s="11" t="n">
        <f aca="false">E10*F10</f>
        <v>90000</v>
      </c>
      <c r="H10" s="6" t="s">
        <v>50</v>
      </c>
      <c r="I10" s="6" t="s">
        <v>54</v>
      </c>
      <c r="J10" s="12"/>
      <c r="K10" s="12"/>
      <c r="L10" s="12"/>
      <c r="M10" s="6" t="str">
        <f aca="false">IF(J10="",H10,J10)</f>
        <v>Meilleur cas</v>
      </c>
    </row>
    <row r="11" customFormat="false" ht="15" hidden="false" customHeight="false" outlineLevel="0" collapsed="false">
      <c r="A11" s="6" t="s">
        <v>55</v>
      </c>
      <c r="B11" s="6" t="s">
        <v>56</v>
      </c>
      <c r="C11" s="6" t="s">
        <v>9</v>
      </c>
      <c r="D11" s="6" t="s">
        <v>49</v>
      </c>
      <c r="E11" s="9" t="n">
        <v>344000</v>
      </c>
      <c r="F11" s="10" t="n">
        <v>0.6</v>
      </c>
      <c r="G11" s="11" t="n">
        <f aca="false">E11*F11</f>
        <v>206400</v>
      </c>
      <c r="H11" s="6" t="s">
        <v>50</v>
      </c>
      <c r="I11" s="6" t="s">
        <v>57</v>
      </c>
      <c r="J11" s="12"/>
      <c r="K11" s="12"/>
      <c r="L11" s="12"/>
      <c r="M11" s="6" t="str">
        <f aca="false">IF(J11="",H11,J11)</f>
        <v>Meilleur cas</v>
      </c>
    </row>
    <row r="12" customFormat="false" ht="15" hidden="false" customHeight="false" outlineLevel="0" collapsed="false">
      <c r="A12" s="6" t="s">
        <v>58</v>
      </c>
      <c r="B12" s="6" t="s">
        <v>29</v>
      </c>
      <c r="C12" s="6" t="s">
        <v>11</v>
      </c>
      <c r="D12" s="6" t="s">
        <v>59</v>
      </c>
      <c r="E12" s="9" t="n">
        <v>95000</v>
      </c>
      <c r="F12" s="10" t="n">
        <v>0.4</v>
      </c>
      <c r="G12" s="11" t="n">
        <f aca="false">E12*F12</f>
        <v>38000</v>
      </c>
      <c r="H12" s="6" t="s">
        <v>60</v>
      </c>
      <c r="I12" s="6" t="s">
        <v>61</v>
      </c>
      <c r="J12" s="12"/>
      <c r="K12" s="12"/>
      <c r="L12" s="12"/>
      <c r="M12" s="6" t="str">
        <f aca="false">IF(J12="",H12,J12)</f>
        <v>Pipeline</v>
      </c>
    </row>
    <row r="13" customFormat="false" ht="15" hidden="false" customHeight="false" outlineLevel="0" collapsed="false">
      <c r="A13" s="6" t="s">
        <v>62</v>
      </c>
      <c r="B13" s="6" t="s">
        <v>63</v>
      </c>
      <c r="C13" s="6" t="s">
        <v>9</v>
      </c>
      <c r="D13" s="6" t="s">
        <v>64</v>
      </c>
      <c r="E13" s="9" t="n">
        <v>210000</v>
      </c>
      <c r="F13" s="10" t="n">
        <v>0.2</v>
      </c>
      <c r="G13" s="11" t="n">
        <f aca="false">E13*F13</f>
        <v>42000</v>
      </c>
      <c r="H13" s="6" t="s">
        <v>60</v>
      </c>
      <c r="I13" s="6" t="s">
        <v>65</v>
      </c>
      <c r="J13" s="12"/>
      <c r="K13" s="12"/>
      <c r="L13" s="12"/>
      <c r="M13" s="6" t="str">
        <f aca="false">IF(J13="",H13,J13)</f>
        <v>Pipeline</v>
      </c>
    </row>
    <row r="14" customFormat="false" ht="15" hidden="false" customHeight="false" outlineLevel="0" collapsed="false">
      <c r="A14" s="6" t="s">
        <v>66</v>
      </c>
      <c r="B14" s="6" t="s">
        <v>67</v>
      </c>
      <c r="C14" s="6" t="s">
        <v>10</v>
      </c>
      <c r="D14" s="6" t="s">
        <v>59</v>
      </c>
      <c r="E14" s="9" t="n">
        <v>290000</v>
      </c>
      <c r="F14" s="10" t="n">
        <v>0.3</v>
      </c>
      <c r="G14" s="11" t="n">
        <f aca="false">E14*F14</f>
        <v>87000</v>
      </c>
      <c r="H14" s="6" t="s">
        <v>60</v>
      </c>
      <c r="I14" s="6" t="s">
        <v>68</v>
      </c>
      <c r="J14" s="12"/>
      <c r="K14" s="12"/>
      <c r="L14" s="12"/>
      <c r="M14" s="6" t="str">
        <f aca="false">IF(J14="",H14,J14)</f>
        <v>Pipeline</v>
      </c>
    </row>
    <row r="15" customFormat="false" ht="15" hidden="false" customHeight="false" outlineLevel="0" collapsed="false">
      <c r="A15" s="6" t="s">
        <v>69</v>
      </c>
      <c r="B15" s="6" t="s">
        <v>70</v>
      </c>
      <c r="C15" s="6" t="s">
        <v>11</v>
      </c>
      <c r="D15" s="6" t="s">
        <v>59</v>
      </c>
      <c r="E15" s="9" t="n">
        <v>150000</v>
      </c>
      <c r="F15" s="10" t="n">
        <v>0.3</v>
      </c>
      <c r="G15" s="11" t="n">
        <f aca="false">E15*F15</f>
        <v>45000</v>
      </c>
      <c r="H15" s="6" t="s">
        <v>71</v>
      </c>
      <c r="I15" s="6" t="s">
        <v>72</v>
      </c>
      <c r="J15" s="12"/>
      <c r="K15" s="12"/>
      <c r="L15" s="12"/>
      <c r="M15" s="6" t="str">
        <f aca="false">IF(J15="",H15,J15)</f>
        <v>Omis</v>
      </c>
    </row>
    <row r="16" customFormat="false" ht="15" hidden="false" customHeight="false" outlineLevel="0" collapsed="false">
      <c r="A16" s="8" t="s">
        <v>73</v>
      </c>
      <c r="E16" s="13" t="n">
        <f aca="false">SUM(E4:E15)</f>
        <v>2170000</v>
      </c>
      <c r="G16" s="13" t="n">
        <f aca="false">SUM(G4:G15)</f>
        <v>1264500</v>
      </c>
    </row>
  </sheetData>
  <dataValidations count="2">
    <dataValidation allowBlank="true" errorStyle="stop" operator="between" showDropDown="false" showErrorMessage="false" showInputMessage="false" sqref="J4:J15" type="list">
      <formula1>"Gagné,Validé,Meilleur cas,Pipeline,Omis"</formula1>
      <formula2>0</formula2>
    </dataValidation>
    <dataValidation allowBlank="true" errorStyle="stop" operator="between" showDropDown="false" showErrorMessage="false" showInputMessage="false" sqref="K4:K15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74</v>
      </c>
    </row>
    <row r="3" customFormat="false" ht="26.85" hidden="false" customHeight="false" outlineLevel="0" collapsed="false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</row>
    <row r="4" customFormat="false" ht="15" hidden="false" customHeight="false" outlineLevel="0" collapsed="false">
      <c r="A4" s="6" t="s">
        <v>31</v>
      </c>
      <c r="B4" s="11" t="n">
        <f aca="false">SUMIFS(Pipeline!$E$4:$E$15,Pipeline!$H$4:$H$15,A4)</f>
        <v>202000</v>
      </c>
      <c r="C4" s="11" t="n">
        <f aca="false">B4</f>
        <v>202000</v>
      </c>
      <c r="D4" s="14" t="n">
        <f aca="false">C4/Paramètres!$B$4</f>
        <v>0.12625</v>
      </c>
      <c r="E4" s="11" t="n">
        <f aca="false">SUMIFS(Pipeline!$E$4:$E$15,Pipeline!$M$4:$M$15,A4)</f>
        <v>202000</v>
      </c>
    </row>
    <row r="5" customFormat="false" ht="15" hidden="false" customHeight="false" outlineLevel="0" collapsed="false">
      <c r="A5" s="6" t="s">
        <v>39</v>
      </c>
      <c r="B5" s="11" t="n">
        <f aca="false">SUMIFS(Pipeline!$E$4:$E$15,Pipeline!$H$4:$H$15,A5)</f>
        <v>611000</v>
      </c>
      <c r="C5" s="11" t="n">
        <f aca="false">C4+B5</f>
        <v>813000</v>
      </c>
      <c r="D5" s="14" t="n">
        <f aca="false">C5/Paramètres!$B$4</f>
        <v>0.508125</v>
      </c>
      <c r="E5" s="11" t="n">
        <f aca="false">SUMIFS(Pipeline!$E$4:$E$15,Pipeline!$M$4:$M$15,A5)</f>
        <v>611000</v>
      </c>
    </row>
    <row r="6" customFormat="false" ht="15" hidden="false" customHeight="false" outlineLevel="0" collapsed="false">
      <c r="A6" s="6" t="s">
        <v>50</v>
      </c>
      <c r="B6" s="11" t="n">
        <f aca="false">SUMIFS(Pipeline!$E$4:$E$15,Pipeline!$H$4:$H$15,A6)</f>
        <v>612000</v>
      </c>
      <c r="C6" s="11" t="n">
        <f aca="false">C5+B6</f>
        <v>1425000</v>
      </c>
      <c r="D6" s="14" t="n">
        <f aca="false">C6/Paramètres!$B$4</f>
        <v>0.890625</v>
      </c>
      <c r="E6" s="11" t="n">
        <f aca="false">SUMIFS(Pipeline!$E$4:$E$15,Pipeline!$M$4:$M$15,A6)</f>
        <v>612000</v>
      </c>
    </row>
    <row r="7" customFormat="false" ht="15" hidden="false" customHeight="false" outlineLevel="0" collapsed="false">
      <c r="A7" s="6" t="s">
        <v>60</v>
      </c>
      <c r="B7" s="11" t="n">
        <f aca="false">SUMIFS(Pipeline!$E$4:$E$15,Pipeline!$H$4:$H$15,A7)</f>
        <v>595000</v>
      </c>
      <c r="C7" s="11" t="n">
        <f aca="false">C6+B7</f>
        <v>2020000</v>
      </c>
      <c r="D7" s="14" t="n">
        <f aca="false">C7/Paramètres!$B$4</f>
        <v>1.2625</v>
      </c>
      <c r="E7" s="11" t="n">
        <f aca="false">SUMIFS(Pipeline!$E$4:$E$15,Pipeline!$M$4:$M$15,A7)</f>
        <v>595000</v>
      </c>
    </row>
    <row r="8" customFormat="false" ht="15" hidden="false" customHeight="false" outlineLevel="0" collapsed="false">
      <c r="A8" s="6" t="s">
        <v>71</v>
      </c>
      <c r="B8" s="11" t="n">
        <f aca="false">SUMIFS(Pipeline!$E$4:$E$15,Pipeline!$H$4:$H$15,A8)</f>
        <v>150000</v>
      </c>
      <c r="C8" s="6" t="s">
        <v>80</v>
      </c>
      <c r="D8" s="6"/>
      <c r="E8" s="11" t="n">
        <f aca="false">SUMIFS(Pipeline!$E$4:$E$15,Pipeline!$M$4:$M$15,A8)</f>
        <v>150000</v>
      </c>
    </row>
    <row r="10" customFormat="false" ht="26.85" hidden="false" customHeight="false" outlineLevel="0" collapsed="false">
      <c r="A10" s="3" t="s">
        <v>81</v>
      </c>
      <c r="B10" s="13" t="n">
        <f aca="false">SUMIFS(Pipeline!$E$4:$E$15,Pipeline!$K$4:$K$15,"Oui")</f>
        <v>0</v>
      </c>
    </row>
    <row r="11" customFormat="false" ht="15" hidden="false" customHeight="false" outlineLevel="0" collapsed="false">
      <c r="A11" s="3" t="s">
        <v>78</v>
      </c>
      <c r="B11" s="15" t="n">
        <f aca="false">B10/Paramètres!$B$4</f>
        <v>0</v>
      </c>
    </row>
    <row r="12" customFormat="false" ht="15" hidden="false" customHeight="false" outlineLevel="0" collapsed="false">
      <c r="A12" s="3" t="s">
        <v>82</v>
      </c>
      <c r="B12" s="16" t="n">
        <f aca="false">B10-Paramètres!$B$4</f>
        <v>-1600000</v>
      </c>
    </row>
    <row r="14" customFormat="false" ht="26.85" hidden="false" customHeight="false" outlineLevel="0" collapsed="false">
      <c r="A14" s="7" t="s">
        <v>7</v>
      </c>
      <c r="B14" s="7" t="s">
        <v>83</v>
      </c>
      <c r="C14" s="7" t="s">
        <v>84</v>
      </c>
      <c r="D14" s="7" t="s">
        <v>85</v>
      </c>
      <c r="E14" s="7" t="s">
        <v>86</v>
      </c>
      <c r="F14" s="7" t="s">
        <v>87</v>
      </c>
    </row>
    <row r="15" customFormat="false" ht="15" hidden="false" customHeight="false" outlineLevel="0" collapsed="false">
      <c r="A15" s="6" t="s">
        <v>9</v>
      </c>
      <c r="B15" s="17" t="n">
        <f aca="false">Paramètres!B9</f>
        <v>700000</v>
      </c>
      <c r="C15" s="11" t="n">
        <f aca="false">SUMIFS(Pipeline!$E$4:$E$15,Pipeline!$C$4:$C$15,$A15,Pipeline!$H$4:$H$15,"Gagné")</f>
        <v>0</v>
      </c>
      <c r="D15" s="11" t="n">
        <f aca="false">SUMIFS(Pipeline!$E$4:$E$15,Pipeline!$C$4:$C$15,$A15,Pipeline!$H$4:$H$15,"Validé")</f>
        <v>0</v>
      </c>
      <c r="E15" s="11" t="n">
        <f aca="false">SUMIFS(Pipeline!$E$4:$E$15,Pipeline!$C$4:$C$15,$A15,Pipeline!$H$4:$H$15,"Meilleur cas")</f>
        <v>612000</v>
      </c>
      <c r="F15" s="14" t="n">
        <f aca="false">IF(B15=0,0,(C15+D15)/B15)</f>
        <v>0</v>
      </c>
    </row>
    <row r="16" customFormat="false" ht="15" hidden="false" customHeight="false" outlineLevel="0" collapsed="false">
      <c r="A16" s="6" t="s">
        <v>10</v>
      </c>
      <c r="B16" s="17" t="n">
        <f aca="false">Paramètres!B10</f>
        <v>600000</v>
      </c>
      <c r="C16" s="11" t="n">
        <f aca="false">SUMIFS(Pipeline!$E$4:$E$15,Pipeline!$C$4:$C$15,$A16,Pipeline!$H$4:$H$15,"Gagné")</f>
        <v>0</v>
      </c>
      <c r="D16" s="11" t="n">
        <f aca="false">SUMIFS(Pipeline!$E$4:$E$15,Pipeline!$C$4:$C$15,$A16,Pipeline!$H$4:$H$15,"Validé")</f>
        <v>611000</v>
      </c>
      <c r="E16" s="11" t="n">
        <f aca="false">SUMIFS(Pipeline!$E$4:$E$15,Pipeline!$C$4:$C$15,$A16,Pipeline!$H$4:$H$15,"Meilleur cas")</f>
        <v>0</v>
      </c>
      <c r="F16" s="14" t="n">
        <f aca="false">IF(B16=0,0,(C16+D16)/B16)</f>
        <v>1.01833333333333</v>
      </c>
    </row>
    <row r="17" customFormat="false" ht="15" hidden="false" customHeight="false" outlineLevel="0" collapsed="false">
      <c r="A17" s="6" t="s">
        <v>11</v>
      </c>
      <c r="B17" s="17" t="n">
        <f aca="false">Paramètres!B11</f>
        <v>300000</v>
      </c>
      <c r="C17" s="11" t="n">
        <f aca="false">SUMIFS(Pipeline!$E$4:$E$15,Pipeline!$C$4:$C$15,$A17,Pipeline!$H$4:$H$15,"Gagné")</f>
        <v>202000</v>
      </c>
      <c r="D17" s="11" t="n">
        <f aca="false">SUMIFS(Pipeline!$E$4:$E$15,Pipeline!$C$4:$C$15,$A17,Pipeline!$H$4:$H$15,"Validé")</f>
        <v>0</v>
      </c>
      <c r="E17" s="11" t="n">
        <f aca="false">SUMIFS(Pipeline!$E$4:$E$15,Pipeline!$C$4:$C$15,$A17,Pipeline!$H$4:$H$15,"Meilleur cas")</f>
        <v>0</v>
      </c>
      <c r="F17" s="14" t="n">
        <f aca="false">IF(B17=0,0,(C17+D17)/B17)</f>
        <v>0.673333333333333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26.85" hidden="false" customHeight="false" outlineLevel="0" collapsed="false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  <c r="I3" s="7" t="s">
        <v>98</v>
      </c>
    </row>
    <row r="4" customFormat="false" ht="39.55" hidden="false" customHeight="false" outlineLevel="0" collapsed="false">
      <c r="A4" s="6" t="n">
        <v>1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</row>
    <row r="5" customFormat="false" ht="15" hidden="false" customHeight="false" outlineLevel="0" collapsed="false">
      <c r="A5" s="6" t="n">
        <v>2</v>
      </c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A6" s="6" t="n">
        <v>3</v>
      </c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false" outlineLevel="0" collapsed="false">
      <c r="A7" s="6" t="n">
        <v>4</v>
      </c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false" outlineLevel="0" collapsed="false">
      <c r="A8" s="6" t="n">
        <v>5</v>
      </c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false" outlineLevel="0" collapsed="false">
      <c r="A9" s="6" t="n">
        <v>6</v>
      </c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false" outlineLevel="0" collapsed="false">
      <c r="A10" s="6" t="n">
        <v>7</v>
      </c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6" t="n">
        <v>8</v>
      </c>
      <c r="B11" s="12"/>
      <c r="C11" s="12"/>
      <c r="D11" s="12"/>
      <c r="E11" s="12"/>
      <c r="F11" s="12"/>
      <c r="G11" s="12"/>
      <c r="H11" s="12"/>
      <c r="I1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8FC33C-ADB6-4617-825A-C11FF1BAEF19}"/>
</file>

<file path=customXml/itemProps2.xml><?xml version="1.0" encoding="utf-8"?>
<ds:datastoreItem xmlns:ds="http://schemas.openxmlformats.org/officeDocument/2006/customXml" ds:itemID="{594BA5D9-6DAE-4ADA-9D11-7A725E1FDD62}"/>
</file>

<file path=customXml/itemProps3.xml><?xml version="1.0" encoding="utf-8"?>
<ds:datastoreItem xmlns:ds="http://schemas.openxmlformats.org/officeDocument/2006/customXml" ds:itemID="{3E077D1A-D94F-4B88-A0DE-BFC12EA3AC5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2026-10-12T11:21:14Z</dcterms:created>
  <dcterms:modified xsi:type="dcterms:W3CDTF">2026-10-12T11:21:14Z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